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olidated Repor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P7" authorId="0">
      <text>
        <r>
          <t>31-Jul: ₹299 (Mobile bill)</t>
        </r>
      </text>
    </comment>
    <comment ref="P10" authorId="0">
      <text>
        <r>
          <t xml:space="preserve">02-Jul: ₹280 (TIFFIN AND LUNCH)
18-Jul: ₹1500 (HOTEL SANDAS INN)
19-Jul: ₹298 (FOOD)</t>
        </r>
      </text>
    </comment>
    <comment ref="P12" authorId="0">
      <text>
        <r>
          <t xml:space="preserve">24-Jul: ₹75 (My Room to Ajmer Bus stand+ Nagaur Bus Stand to  Merta City Hospital)
24-Jul: ₹75 (Marta City Hospital to Nagaur Bus stand+ Ajmer Bus Stand to My Room)
28-Jul: ₹100 (My Room to Ajmer Bus Stand+ Beawar Bus Stand to Hospital)
28-Jul: ₹100 (A K Hospital to Beawar Bus Stand+ Ajmer Bus Stand to My Room)
29-Jul: ₹100 (My Room to Ajmer Bus Stand+ Bandarwara to Bhinay Hospital)
29-Jul: ₹100 (Bhinay Hospital to Bandarwara+Ajmer Bus Stand to My Room)</t>
        </r>
      </text>
    </comment>
    <comment ref="P14" authorId="0">
      <text>
        <r>
          <t>31-Jul: ₹200 (Toll tax)</t>
        </r>
      </text>
    </comment>
    <comment ref="P20" authorId="0">
      <text>
        <r>
          <t xml:space="preserve">01-Jul: ₹100 (100)
01-Jul: ₹100 (100)
21-Jul: ₹100 (Misc)
21-Jul: ₹100 (Misc)</t>
        </r>
      </text>
    </comment>
    <comment ref="P26" authorId="0">
      <text>
        <r>
          <t>30-Jul: ₹900 (Hotel bill)</t>
        </r>
      </text>
    </comment>
    <comment ref="P30" authorId="0">
      <text>
        <r>
          <t>30-Jul: ₹300 (Mobile recharge)</t>
        </r>
      </text>
    </comment>
    <comment ref="P34" authorId="0">
      <text>
        <r>
          <t>06-Jul: ₹300 (Mobile recharge)</t>
        </r>
      </text>
    </comment>
    <comment ref="P38" authorId="0">
      <text>
        <r>
          <t>13-Jul: ₹250 (Night up down charge)</t>
        </r>
      </text>
    </comment>
    <comment ref="P44" authorId="0">
      <text>
        <r>
          <t>31-Jul: ₹200 (Food)</t>
        </r>
      </text>
    </comment>
    <comment ref="P68" authorId="0">
      <text>
        <r>
          <t xml:space="preserve">29-Jul: ₹100 (Auto)
29-Jul: ₹100 (Auto)</t>
        </r>
      </text>
    </comment>
    <comment ref="P71" authorId="0">
      <text>
        <r>
          <t>08-Jul: ₹54 (Chopasani Satellite Hospital To Home)</t>
        </r>
      </text>
    </comment>
    <comment ref="P73" authorId="0">
      <text>
        <r>
          <t xml:space="preserve">28-Jul: ₹299 (Cylinder Travel Charges  Loading taxi)
30-Jul: ₹250 (Travel charges loading taxi)
31-Jul: ₹250 (Travel charges loading taxi)</t>
        </r>
      </text>
    </comment>
    <comment ref="P76" authorId="0">
      <text>
        <r>
          <t>22-Jul: ₹350 (Mobile recharge)</t>
        </r>
      </text>
    </comment>
    <comment ref="P77" authorId="0">
      <text>
        <r>
          <t xml:space="preserve">01-Jul: ₹220 (My Room to Ajmer Railway station+Ganganagar rail station to Hotel)
04-Jul: ₹60 (Ganganagar Bus stand to Hotel)
07-Jul: ₹130 (Hotel  to Ganganagar Bus stand+ Chunawadh Chc)
07-Jul: ₹110 (Hospital to Bus stand+ Bus stand to Hotel)
08-Jul: ₹50 (Hotel to Ganganagar Bus stand)
08-Jul: ₹70 (Ganganagar Bus stand to Hotel)
09-Jul: ₹140 (Hotel to Bus stand+ Bus stand to Hospital)
09-Jul: ₹140 (Hospital to Bus stand+Bus stand to Hotel)
11-Jul: ₹110 (Hotel to Bus stand+Bus stand to My Room)</t>
        </r>
      </text>
    </comment>
    <comment ref="P78" authorId="0">
      <text>
        <r>
          <t>31-Jul: ₹299 (Mobile recharge)</t>
        </r>
      </text>
    </comment>
    <comment ref="P80" authorId="0">
      <text>
        <r>
          <t>06-Jul: ₹470 (.)</t>
        </r>
      </text>
    </comment>
    <comment ref="P81" authorId="0">
      <text>
        <r>
          <t>17-Jul: ₹299 (Recharge due to Sim not available)</t>
        </r>
      </text>
    </comment>
    <comment ref="P90" authorId="0">
      <text>
        <r>
          <t xml:space="preserve">30-Jul: ₹264 (Cab)
31-Jul: ₹299 (Mobile recharge)</t>
        </r>
      </text>
    </comment>
    <comment ref="P94" authorId="0">
      <text>
        <r>
          <t>31-Jul: ₹480 (Lunch food)</t>
        </r>
      </text>
    </comment>
    <comment ref="P100" authorId="0">
      <text>
        <r>
          <t xml:space="preserve">03-Jul: ₹545 (New joining 4 person lunch bill.  (Jyoti Ma'am asked me to have lunch outside and submit the bill under expenses))
31-Jul: ₹299 (Mobile Recharge)</t>
        </r>
      </text>
    </comment>
    <comment ref="P103" authorId="0">
      <text>
        <r>
          <t>28-Jul: ₹1361 (Team Dinner)</t>
        </r>
      </text>
    </comment>
    <comment ref="P104" authorId="0">
      <text>
        <r>
          <t>31-Jul: ₹381 (Mobile recharge)</t>
        </r>
      </text>
    </comment>
    <comment ref="P105" authorId="0">
      <text>
        <r>
          <t xml:space="preserve">01-Jul: ₹100 (Office cleaning)
09-Jul: ₹170 (Local expenses)</t>
        </r>
      </text>
    </comment>
    <comment ref="P106" authorId="0">
      <text>
        <r>
          <t xml:space="preserve">14-Jul: ₹150 (Auto)
15-Jul: ₹150 (Auto)</t>
        </r>
      </text>
    </comment>
    <comment ref="P111" authorId="0">
      <text>
        <r>
          <t>01-Jul: ₹299 (Mobile recharge)</t>
        </r>
      </text>
    </comment>
    <comment ref="P114" authorId="0">
      <text>
        <r>
          <t xml:space="preserve">09-Jul: ₹250 (Snacks for Team)
11-Jul: ₹100 (Tea for medical College lab staff)
23-Jul: ₹200 (Gift for principal Pen)</t>
        </r>
      </text>
    </comment>
    <comment ref="P118" authorId="0">
      <text>
        <r>
          <t>31-Jul: ₹100 (Dental chair &amp; baby weighing machine)</t>
        </r>
      </text>
    </comment>
    <comment ref="P120" authorId="0">
      <text>
        <r>
          <t>31-Jul: ₹299 (Mobile recharge)</t>
        </r>
      </text>
    </comment>
    <comment ref="P131" authorId="0">
      <text>
        <r>
          <t>08-Jul: ₹550 (Return Hanumangarh to Bikaner)</t>
        </r>
      </text>
    </comment>
    <comment ref="P138" authorId="0">
      <text>
        <r>
          <t>15-Jul: ₹410 (Traveling from jodhpur to sirohi)</t>
        </r>
      </text>
    </comment>
    <comment ref="P140" authorId="0">
      <text>
        <r>
          <t xml:space="preserve">17-Jul: ₹500 (TOLL)
27-Jul: ₹299 (Monthly Phone bill)</t>
        </r>
      </text>
    </comment>
    <comment ref="P143" authorId="0">
      <text>
        <r>
          <t>31-Jul: ₹200 (Lunch Bill)</t>
        </r>
      </text>
    </comment>
    <comment ref="P147" authorId="0">
      <text>
        <r>
          <t xml:space="preserve">15-Jul: ₹299 (Mobile recharge)
21-Jul: ₹60 (Misc)</t>
        </r>
      </text>
    </comment>
    <comment ref="P152" authorId="0">
      <text>
        <r>
          <t>31-Jul: ₹300 (Mobile bill)</t>
        </r>
      </text>
    </comment>
    <comment ref="P153" authorId="0">
      <text>
        <r>
          <t xml:space="preserve">06-Jul: ₹70 (Auto use)
02-Jul: ₹50 (AUTO room to bhilwara and tonk)
07-Jul: ₹50 (Auto use)</t>
        </r>
      </text>
    </comment>
    <comment ref="P155" authorId="0">
      <text>
        <r>
          <t>02-Jul: ₹100 (MCH VISIT)</t>
        </r>
      </text>
    </comment>
    <comment ref="P159" authorId="0">
      <text>
        <r>
          <t xml:space="preserve">02-Jul: ₹30 (BIKE PARKING)
03-Jul: ₹30 (BIKE PARKING)
03-Jul: ₹30 (PARKING)
10-Jul: ₹30 (BIKE  PARKING)
13-Jul: ₹30 (Bike Parking)
14-Jul: ₹30 (Parking)
16-Jul: ₹30 (Parking)
17-Jul: ₹30 (Parking)
27-Jul: ₹30 (Bike Parking)
28-Jul: ₹30 (Parking)
30-Jul: ₹30 (Parking)
31-Jul: ₹30 (Parking)</t>
        </r>
      </text>
    </comment>
    <comment ref="P163" authorId="0">
      <text>
        <r>
          <t>25-Jul: ₹150 (auto fare)</t>
        </r>
      </text>
    </comment>
    <comment ref="P165" authorId="0">
      <text>
        <r>
          <t>09-Jul: ₹120 (I went to market for the company shirt fitting.")</t>
        </r>
      </text>
    </comment>
    <comment ref="P171" authorId="0">
      <text>
        <r>
          <t xml:space="preserve">04-Jul: ₹170 (Dinner, after monthly meeting approved by di)
31-Jul: ₹299 (Mobile recharge)</t>
        </r>
      </text>
    </comment>
    <comment ref="P176" authorId="0">
      <text>
        <r>
          <t xml:space="preserve">30-Jul: ₹2019 (Food with BME - Fun N Food Restaurant Jodhpur (Bill No: 26-27/18853))
19-Jul: ₹2473 (Food with BME - Skynior Fine-Dine &amp; Lounge Jodhpur (Bill No: A5922))
12-Jul: ₹2150 (Food with BME - Vijay Restaurant Jodhpur (Bill No: 10307))</t>
        </r>
      </text>
    </comment>
    <comment ref="P178" authorId="0">
      <text>
        <r>
          <t>18-Jul: ₹100 (Auto charges pratapgarh travels office to Roo)</t>
        </r>
      </text>
    </comment>
    <comment ref="P180" authorId="0">
      <text>
        <r>
          <t xml:space="preserve">07-Jul: ₹100 (Breakfast expenses)
08-Jul: ₹200 (Dinner at 08/7/2026)
09-Jul: ₹450 (Luggage charges)</t>
        </r>
      </text>
    </comment>
  </commentList>
</comments>
</file>

<file path=xl/sharedStrings.xml><?xml version="1.0" encoding="utf-8"?>
<sst xmlns="http://schemas.openxmlformats.org/spreadsheetml/2006/main" count="2776" uniqueCount="617">
  <si>
    <t>Sl No</t>
  </si>
  <si>
    <t>Submitted Date</t>
  </si>
  <si>
    <t>Mail / Hard Copy</t>
  </si>
  <si>
    <t>EE Code</t>
  </si>
  <si>
    <t>Grade</t>
  </si>
  <si>
    <t>Designation</t>
  </si>
  <si>
    <t>CC</t>
  </si>
  <si>
    <t>EE Name</t>
  </si>
  <si>
    <t>5314101 - Exp Travelling Expense - Private Transport (Bike and personal car)</t>
  </si>
  <si>
    <t>5314101 - Exp Travelling Expense - public Transport (Bus, Train, Auto, uber, Rapido etc)</t>
  </si>
  <si>
    <t>5314102 - Exp Daily Allowances</t>
  </si>
  <si>
    <t>5314108 - Exp Spare Purchase Cost - Non GST</t>
  </si>
  <si>
    <t>5314103 - Exp Courier Charges</t>
  </si>
  <si>
    <t>5314104 - Exp Boarding &amp; Lodging</t>
  </si>
  <si>
    <t>5314105 - Exp Printing &amp; Stationery</t>
  </si>
  <si>
    <t>5314106 - Exp Miscellaneous Expenses</t>
  </si>
  <si>
    <t>5314107 - Exp Fuel Expenses</t>
  </si>
  <si>
    <t>Total</t>
  </si>
  <si>
    <t>Advances</t>
  </si>
  <si>
    <t>Net Payable</t>
  </si>
  <si>
    <t>GST Bills</t>
  </si>
  <si>
    <t>Status</t>
  </si>
  <si>
    <t>Reason for deduction</t>
  </si>
  <si>
    <t>Month</t>
  </si>
  <si>
    <t>Hold Reson</t>
  </si>
  <si>
    <t>Remarks</t>
  </si>
  <si>
    <t>Manager</t>
  </si>
  <si>
    <t>State</t>
  </si>
  <si>
    <t>total claimed amount</t>
  </si>
  <si>
    <t>differenece</t>
  </si>
  <si>
    <t>5 August</t>
  </si>
  <si>
    <t>Soft Copy</t>
  </si>
  <si>
    <t>E1715</t>
  </si>
  <si>
    <t>JM2</t>
  </si>
  <si>
    <t>Specialist Engineer (BBR)</t>
  </si>
  <si>
    <t>Udaipur</t>
  </si>
  <si>
    <t>Aaftab</t>
  </si>
  <si>
    <t/>
  </si>
  <si>
    <t>Approved</t>
  </si>
  <si>
    <t>KM: 81km (10 days: 6,13,14,17,19,22,23,24,25,26); Auto: ₹160 (2 days: 3,11); DA: ₹1200 (6 days: 17,18,19,20,23,25); Need to be add proper reason for visit local market.; proper reason  required; DA not allowed; da not allwoed</t>
  </si>
  <si>
    <t>July-2026</t>
  </si>
  <si>
    <t>No</t>
  </si>
  <si>
    <t>Santosh Vyas</t>
  </si>
  <si>
    <t>Rajasthan</t>
  </si>
  <si>
    <t>E680</t>
  </si>
  <si>
    <t>O2</t>
  </si>
  <si>
    <t>District In-charge</t>
  </si>
  <si>
    <t>Bikaner</t>
  </si>
  <si>
    <t>Abhilash A</t>
  </si>
  <si>
    <t>Auto: ₹400 (10 days: 1,2,3,4,6,7,8,10,11,13); DA: ₹250 (1 days: 17); Base Commute TA not eligible (Pbm MC And Hosp Bikaner); Wrong auto</t>
  </si>
  <si>
    <t>Shailendra Arse</t>
  </si>
  <si>
    <t>E2054</t>
  </si>
  <si>
    <t>JM1</t>
  </si>
  <si>
    <t>Jr.Biomedical Engineer</t>
  </si>
  <si>
    <t>Jodhpur</t>
  </si>
  <si>
    <t>Abhishek</t>
  </si>
  <si>
    <t>KM: 5km (1 days: 14); Base Commute TA not eligible (Phalodi Hosp Jodhpur Dh); DA applicable</t>
  </si>
  <si>
    <t>Tripurari Ray Sharma</t>
  </si>
  <si>
    <t>E1617</t>
  </si>
  <si>
    <t>JM3</t>
  </si>
  <si>
    <t>Specialist Engineer (Lab)</t>
  </si>
  <si>
    <t>Ajmer</t>
  </si>
  <si>
    <t>Abhishek Vaishnav</t>
  </si>
  <si>
    <t>KM: 473km (13 days: 3,4,9,13,15,16,17,18,21,22,23,24,28); DA: ₹200 (1 days: 9); Base Commute TA not eligible (District Sahadat Hosp Tonk Dh)</t>
  </si>
  <si>
    <t>Shahrukh Ali</t>
  </si>
  <si>
    <t>E1708</t>
  </si>
  <si>
    <t>O1</t>
  </si>
  <si>
    <t>Ajay Kumar</t>
  </si>
  <si>
    <t>KM: 25km (3 days: 24,27,28); DA: ₹600 (2 days: 6,7); 49 showing in map</t>
  </si>
  <si>
    <t>Shijith Kunniyullathil</t>
  </si>
  <si>
    <t>E1889</t>
  </si>
  <si>
    <t>Specialist Engineer-Critical</t>
  </si>
  <si>
    <t>Akhil Kumar</t>
  </si>
  <si>
    <t>KM: 532km (15 days: 12,13,14,15,16,17,18,19,21,22,23,24,27,29,30); Base Commute TA &amp; DA not eligible (Mahatma Gandhi Hosp Jodhpur)</t>
  </si>
  <si>
    <t>Nilanjan Dey</t>
  </si>
  <si>
    <t>E2072</t>
  </si>
  <si>
    <t>Specialist Engineer (Dialysis)</t>
  </si>
  <si>
    <t>Akhilesh Kumar chaudhary</t>
  </si>
  <si>
    <t>Base Commute TA &amp; DA not eligible (Dist Hosp Barmer Dh)</t>
  </si>
  <si>
    <t>Sukant Mishra</t>
  </si>
  <si>
    <t>E1731</t>
  </si>
  <si>
    <t>Sr. Biomedical Engineer</t>
  </si>
  <si>
    <t>Alok Prasad</t>
  </si>
  <si>
    <t>KM: 86km (8 days: 14,15,18,20,21,22,24,25); Merta City Sdh Nagaur only 95 Km; Merta City Sdh Nagaur only 95km</t>
  </si>
  <si>
    <t>Mohammed Lukman</t>
  </si>
  <si>
    <t>E1618</t>
  </si>
  <si>
    <t>Aminur Rahaman Molla</t>
  </si>
  <si>
    <t>KM: 84km (11 days: 11,13,14,15,22,23,24,25,27,29,30); DA: ₹2150 (10 days: 1,2,7,8,9,11,13,18,19,20); Base Commute TA &amp; DA not eligible (Govt Hosp Sriganganagar Dh); 200 DA Allowed</t>
  </si>
  <si>
    <t>E2138</t>
  </si>
  <si>
    <t>Amit Kathat</t>
  </si>
  <si>
    <t>Nousar to pushak 20 km distance  he is putting more; Nousr to pushak 20 km distance he is putting more; 50 km each from both side; 20 km distance from satellite to nousar</t>
  </si>
  <si>
    <t>Ranjeet Singh</t>
  </si>
  <si>
    <t>E2314</t>
  </si>
  <si>
    <t>Specialist Engineer (CR)</t>
  </si>
  <si>
    <t>Amit Kumar Sarkar</t>
  </si>
  <si>
    <t>KM: 10km (3 days: 10,12,13); DA: ₹250 (1 days: 6); Hotel stay New joing; New joining; New joining Hotel Stay DA aloowed; kishangarh is 32 km</t>
  </si>
  <si>
    <t>Sanjay Sisodia</t>
  </si>
  <si>
    <t>E2336</t>
  </si>
  <si>
    <t>Specilist Engineer-Critical Care</t>
  </si>
  <si>
    <t>Amit Sharma</t>
  </si>
  <si>
    <t>KM: 6km (3 days: 17,18,19)</t>
  </si>
  <si>
    <t>E1672</t>
  </si>
  <si>
    <t>Lead Engineer</t>
  </si>
  <si>
    <t>Amol Singh Mehta</t>
  </si>
  <si>
    <t>KM: 88km (6 days: 1,7,8,9,10,13); DA: ₹200 (1 days: 13); Base Commute TA &amp; DA not eligible (Jln Hosp Ajmer, Jln MC Ajmer); DA Change hotel Stay</t>
  </si>
  <si>
    <t>E1907</t>
  </si>
  <si>
    <t>Amrendra Kumar Singh</t>
  </si>
  <si>
    <t>E1641</t>
  </si>
  <si>
    <t>Anas ali</t>
  </si>
  <si>
    <t>KM: 7km (1 days: 29); DA: ₹800 (4 days: 6,7,8,10); Base Commute TA &amp; DA not eligible (Govt Hosp Sriganganagar Dh); DA 150 Allowed; DA 200 Allowed; da 150/-</t>
  </si>
  <si>
    <t>E1757</t>
  </si>
  <si>
    <t>Sr. Specialist Engineer-X-Ray</t>
  </si>
  <si>
    <t>Aniket Raj Pal</t>
  </si>
  <si>
    <t>KM: 132km (7 days: 7,9,13,14,17,22,23); Hotel: ₹1304 (4 days: 27,28,29,30); Base Commute TA not eligible (Mathura Das Mathur Hosp Jodhpur); was a bit extra; GST BILL IS REQUIRED BEYOND 1000/-; gst bill is required beyond 1000; component for call</t>
  </si>
  <si>
    <t>E2315</t>
  </si>
  <si>
    <t>Specialist Engineer (Radiology)</t>
  </si>
  <si>
    <t>Anil  Jangra</t>
  </si>
  <si>
    <t>Auto: ₹50 (1 days: 25); Hotel Stay; kilometer showing is 27; he has not come to bhilwara; only 3.8km bus will not charge 80; only 15 km by bus will not charge 100; no proper bill and kilometer is 113</t>
  </si>
  <si>
    <t>E2321</t>
  </si>
  <si>
    <t>Biomedical Engineer</t>
  </si>
  <si>
    <t>Anil Kumar</t>
  </si>
  <si>
    <t>KM: 55km (7 days: 16,20,21,23,25,29,31); Hotel Stay New Joining</t>
  </si>
  <si>
    <t>E1629</t>
  </si>
  <si>
    <t>Anoop mishra</t>
  </si>
  <si>
    <t>Route KM adjusted</t>
  </si>
  <si>
    <t>E2121</t>
  </si>
  <si>
    <t>Ansh Bhargav</t>
  </si>
  <si>
    <t>KM: 22km (2 days: 10,30); 20 km; Principal  only 20 km; only 20 km</t>
  </si>
  <si>
    <t>Dheeraj Kumar Shukla</t>
  </si>
  <si>
    <t>E1828</t>
  </si>
  <si>
    <t>Anup</t>
  </si>
  <si>
    <t>DA: ₹50 (1 days: 31); Route KM adjusted</t>
  </si>
  <si>
    <t>E1810</t>
  </si>
  <si>
    <t>Arjun Puri</t>
  </si>
  <si>
    <t>Base Commute TA &amp; DA not eligible (Govt Bangur Hopital Pali Dh)</t>
  </si>
  <si>
    <t>E2095</t>
  </si>
  <si>
    <t>Specialist Engineer</t>
  </si>
  <si>
    <t>Arjun Sharma</t>
  </si>
  <si>
    <t>KM: 54km (26 days: 1,2,4,6,7,8,9,10,11,13,14,15,17,18,20,21,22,23,24,25,26,27,28,29,30,31); Base Commute TA not eligible (Mathura Das Mathur Hosp Jodhpur)</t>
  </si>
  <si>
    <t>E1737</t>
  </si>
  <si>
    <t>Arun</t>
  </si>
  <si>
    <t>KM: 20km (2 days: 4,8); Auto: ₹40 (1 days: 7); Base Commute TA not eligible (Pbm MC And Hosp Bikaner); Deducted additional 10 KM; Maximum distance is 110KM; Approved 90 KM; 95 km approved; Approved 80 KM; Approved only 80km/ one side</t>
  </si>
  <si>
    <t>E1740</t>
  </si>
  <si>
    <t>Ashish Yadav</t>
  </si>
  <si>
    <t>KM: 26km (3 days: 23,24,30); Auto: ₹600 (2 days: 6,8); DA: ₹100 (1 days: 7); Hotel: ₹900 (1 days: 7); Approved 35 KM; Bill not attached for  RS 200/-; Bill not attached for RS 100 /-; No bill submitted for local purchase RS 200; 105 km is approved</t>
  </si>
  <si>
    <t>E1634</t>
  </si>
  <si>
    <t>Sr.Specialist Engineer</t>
  </si>
  <si>
    <t>Ashok patel</t>
  </si>
  <si>
    <t>KM: 215km (24 days: 1,2,3,4,7,8,10,11,13,14,15,17,18,20,21,22,23,25,26,27,28,29,30,31); DA: ₹250 (1 days: 5); Base Commute TA not eligible (Pbm MC And Hosp Bikaner)</t>
  </si>
  <si>
    <t>E1911</t>
  </si>
  <si>
    <t>Ashokkumarram</t>
  </si>
  <si>
    <t>KM: 52km (26 days: 1,2,3,4,6,7,8,9,10,11,13,14,15,16,17,18,20,22,23,24,25,27,28,29,30,31); Base Commute TA not eligible (Mathura Das Mathur Hosp Jodhpur)</t>
  </si>
  <si>
    <t>E770</t>
  </si>
  <si>
    <t>QA Engineer</t>
  </si>
  <si>
    <t>Ashutosh Singh</t>
  </si>
  <si>
    <t>KM: 4893km (2 days: 2,18)</t>
  </si>
  <si>
    <t>Aswanth TM</t>
  </si>
  <si>
    <t>E2055</t>
  </si>
  <si>
    <t>Bablu Kumar</t>
  </si>
  <si>
    <t>E1823</t>
  </si>
  <si>
    <t>Calibration Engineer</t>
  </si>
  <si>
    <t>Badal Kumar</t>
  </si>
  <si>
    <t>E1818</t>
  </si>
  <si>
    <t>Bajrang Sharma</t>
  </si>
  <si>
    <t>KM: 5km (1 days: 9); DA: ₹150 (1 days: 9); Base Commute TA &amp; DA not eligible (D B Government Hosp Churu Dh)</t>
  </si>
  <si>
    <t>Somvir Singh</t>
  </si>
  <si>
    <t>E1630</t>
  </si>
  <si>
    <t>Banti kumar</t>
  </si>
  <si>
    <t>KM: 72km (3 days: 16,20,22); Auto: ₹202 (1 days: 9); Hotel: ₹402 (2 days: 28,29); Base Commute TA not eligible (Mathura Das Mathur Hosp Jodhpur); with out GST hotel bill allowed upto 999/-; local spare purchased; local spare purchase; not allowed; adjusted here; GST BILL REQUIRED BEYOND 1000/-</t>
  </si>
  <si>
    <t>E2270</t>
  </si>
  <si>
    <t>Specialist Engineer(Xray)</t>
  </si>
  <si>
    <t>Bharat</t>
  </si>
  <si>
    <t>E1670</t>
  </si>
  <si>
    <t>Jr. Specialist Engineer (Lab)</t>
  </si>
  <si>
    <t>Bheemraj Ghusar</t>
  </si>
  <si>
    <t>KM: 12km (2 days: 12,30); DA: ₹400 (2 days: 4,6); Base Commute TA &amp; DA not eligible (M G Hosp Bhilwara Dh)</t>
  </si>
  <si>
    <t>E2198</t>
  </si>
  <si>
    <t>Bhola paswan</t>
  </si>
  <si>
    <t>KM: 24km (4 days: 13,14,17,20)</t>
  </si>
  <si>
    <t>GomaRam Dewasi</t>
  </si>
  <si>
    <t>E1628</t>
  </si>
  <si>
    <t>Bilal Khan</t>
  </si>
  <si>
    <t>BASE LOCATION JLN; NASIRABAD 27 KM</t>
  </si>
  <si>
    <t>E2269</t>
  </si>
  <si>
    <t>Deepak Saket</t>
  </si>
  <si>
    <t>KM: 50km (26 days: 1,2,3,4,5,6,7,8,9,10,11,12,13,14,15,16,17,20,21,22,23,27,28,29,30,31); Base Commute TA not eligible (Mathura Das Mathur Hosp Jodhpur)</t>
  </si>
  <si>
    <t>E1850</t>
  </si>
  <si>
    <t>Deepesh Salvi</t>
  </si>
  <si>
    <t>KM: 36km (2 days: 6,9); DA: ₹2200 (11 days: 6,7,9,18,22,23,25,27,29,30,31); Base Commute TA &amp; DA not eligible; 62 km; Da not allowed; srb DA</t>
  </si>
  <si>
    <t>E1682</t>
  </si>
  <si>
    <t>Jr.Specialist Engineer</t>
  </si>
  <si>
    <t>Devendra Dhakar</t>
  </si>
  <si>
    <t>KM: 10km (2 days: 3,9); DA: ₹400 (2 days: 3,9); Base Commute TA &amp; DA not eligible (M G Hosp Bhilwara Dh)</t>
  </si>
  <si>
    <t>E1768</t>
  </si>
  <si>
    <t>Dhananjay Vishwakarma</t>
  </si>
  <si>
    <t>E2006</t>
  </si>
  <si>
    <t>KM: 11km (2 days: 11,28); DA: ₹550 (2 days: 2,4); Base Commute TA &amp; DA not eligible</t>
  </si>
  <si>
    <t>E1901</t>
  </si>
  <si>
    <t>Dheerendra Singh</t>
  </si>
  <si>
    <t>KM: 25km (6 days: 8,15,16,23,27,30); DA: ₹200 (1 days: 8); BASE LOCATION JLN; Zanana to Satellite Hospital Adarsh only 17 km</t>
  </si>
  <si>
    <t>E2197</t>
  </si>
  <si>
    <t>Dilip Kumar Saini</t>
  </si>
  <si>
    <t>KM: 60km (8 days: 2,6,8,9,16,20,24,25); DA: ₹800 (4 days: 2,6,8,9); Base Commute TA &amp; DA not eligible (Dh Hanumangarh Town Dh); Distance 30 km on Map location; Map location show 30 km</t>
  </si>
  <si>
    <t>Harjinder Singh</t>
  </si>
  <si>
    <t>E1705</t>
  </si>
  <si>
    <t>Dinesh Chandra Vyas</t>
  </si>
  <si>
    <t>DA: ₹300 (1 days: 4); Anandpuri  TO Banswara Distance 40km; 60km; 60 km; 46km</t>
  </si>
  <si>
    <t>GAJENDRA SINGH MAHOR</t>
  </si>
  <si>
    <t>E2339</t>
  </si>
  <si>
    <t>Support Engineer</t>
  </si>
  <si>
    <t>Dinesh Kumar</t>
  </si>
  <si>
    <t>KM: 18km (4 days: 3,11,16,17); Exual Distance; PRIVATE BUS TRAVEL CHARGE</t>
  </si>
  <si>
    <t>E1933</t>
  </si>
  <si>
    <t>Divesh tak</t>
  </si>
  <si>
    <t>KM: 27km (1 days: 24); Auto: ₹4 (2 days: 5,26); DA: ₹300 (1 days: 26); Hotel: ₹1800 (2 days: 5,26); NO TRAVEL; TRAVEL TO BASE LOCATION ON WEEKEND; Delwara To Mohi Actual Distance Is 45km; On Sunday Can Travel To Base Location So No DA/TA</t>
  </si>
  <si>
    <t>E1517</t>
  </si>
  <si>
    <t>District Lead-Engineer</t>
  </si>
  <si>
    <t>Faizal S</t>
  </si>
  <si>
    <t>Auto: ₹400 (10 days: 1,2,3,4,6,7,8,9,11,13); Base Commute TA not eligible (Pbm MC And Hosp Bikaner)</t>
  </si>
  <si>
    <t>E1724</t>
  </si>
  <si>
    <t>Fazlurrahman</t>
  </si>
  <si>
    <t>KM: 80km (12 days: 2,5,9,13,17,18,20,23,27,29,30,31); DA: ₹900 (6 days: 2,5,9,17,18,20); Base Commute TA &amp; DA not eligible (Govt Bangur Hopital Pali Dh)</t>
  </si>
  <si>
    <t>Rajendra Singh</t>
  </si>
  <si>
    <t>E1688</t>
  </si>
  <si>
    <t>E1812</t>
  </si>
  <si>
    <t>Gaurav Sharma</t>
  </si>
  <si>
    <t>Company Provide Hotel (Training); Company Provide Hotel   (Traning); 32 km pass; 50 km pass; Nasirabad 27 km pass only; 27 km pass only; 30 km pass; 75 km approval</t>
  </si>
  <si>
    <t>E1660</t>
  </si>
  <si>
    <t>Giriraj Tailor</t>
  </si>
  <si>
    <t>DA: ₹750 (5 days: 4,6,7,13,17); Base Commute TA &amp; DA not eligible</t>
  </si>
  <si>
    <t>Sumit Sharma</t>
  </si>
  <si>
    <t>E1673</t>
  </si>
  <si>
    <t>KM: 40km (7 days: 4,14,20,21,27,29,31)</t>
  </si>
  <si>
    <t>E1948</t>
  </si>
  <si>
    <t>Office Coordinator</t>
  </si>
  <si>
    <t>Gopal Tiwari</t>
  </si>
  <si>
    <t>Vinod Kumar Jain</t>
  </si>
  <si>
    <t>E1638</t>
  </si>
  <si>
    <t>Jr Office Coordinator - DnD</t>
  </si>
  <si>
    <t>Goutam Saini</t>
  </si>
  <si>
    <t>E1753</t>
  </si>
  <si>
    <t>Gurjant Singh</t>
  </si>
  <si>
    <t>KM: 70km (2 days: 28,29); DA: ₹200 (1 days: 4); Base DA not eligible; kilometer showing 26 in map; kilometer showing is 17km on map; kilometer showing 17 km on map</t>
  </si>
  <si>
    <t>E1616</t>
  </si>
  <si>
    <t>Gurjeet singh</t>
  </si>
  <si>
    <t>KM: 114km (4 days: 9,24,29,30); Auto: ₹200 (1 days: 12); DA: ₹450 (2 days: 9,12); Base Commute TA &amp; DA not eligible (Pilibanga Chc Hanumangarh); Exact distance on map location 105km; Exact location on map 42 km; Exact location 121 km on map; Exact location on map 121 km; Exact location 45 km; Exact location on map 51 km; Base Location Pilibanga So Pilibanga to Nohar Exact 88 km</t>
  </si>
  <si>
    <t>E2168</t>
  </si>
  <si>
    <t>Harish kumar</t>
  </si>
  <si>
    <t>KM: 225km (10 days: 2,9,10,13,14,17,18,20,22,23); DA: ₹150 (1 days: 2); Base Commute TA &amp; DA not eligible (Umaid Hosp Jodhpur MC Hospital)</t>
  </si>
  <si>
    <t>Saveen Kumar</t>
  </si>
  <si>
    <t>E1709</t>
  </si>
  <si>
    <t>KM: 6km (1 days: 29); DA: ₹1200 (6 days: 1,3,4,6,7,13); Base Commute TA &amp; DA not eligible (Dh Hanumangarh Town Dh)</t>
  </si>
  <si>
    <t>E1796</t>
  </si>
  <si>
    <t>Jagannath</t>
  </si>
  <si>
    <t>Kishangarh  is only 35 km from Vaishali Nagar.; Nasirabad is only 30 km from Vaishali Nagar.; Nasirabad is only 30 km from  vaishali nager; Company Provide Hotel; 10 km extra only 60 km pass; 10 km extra  only 60 km pass; 8 km extra not pass only 32 km pass; 8 km extra  only 32 km pass; 15 km extra not  only  55 km pass; 15 km extra  only 55 km pass; 10 km extra  only 70 km pass; 10 km extra  60 km pass; 8 km extra 32 km pass only; 8 km extra  32 km pass; Only 76 km  distance; Only 76 km distance Vijaynagar Chc Ajmer to vaishali nager; Zanana hospital 15 km pass; Zanana hospital  15 km pass</t>
  </si>
  <si>
    <t>E1908</t>
  </si>
  <si>
    <t>Jay Krishan Yadav</t>
  </si>
  <si>
    <t>KM: 55km (28 days: 1,2,3,4,5,6,7,8,9,10,11,12,13,14,15,16,17,18,20,21,22,23,24,25,28,29,30,31); Spare: ₹300 (1 days: 31); Base Commute TA not eligible (Mathura Das Mathur Hosp Jodhpur); One month recharge allowed</t>
  </si>
  <si>
    <t>Navneet Tripathi</t>
  </si>
  <si>
    <t>E2051</t>
  </si>
  <si>
    <t>Jayesh sharma</t>
  </si>
  <si>
    <t>KM: 20km (2 days: 14,27); DA: ₹600 (4 days: 1,2,3,4); Base Commute TA &amp; DA not eligible (District Hosp Pratapgarh Dh); Bambori Phc Pratapgarh  distance 25km; Kesunda Phc to Pratapgarh 58.5km; 58.5km; Wrong interd; Extra add km</t>
  </si>
  <si>
    <t>Vinod Kumar tailor</t>
  </si>
  <si>
    <t>E1713</t>
  </si>
  <si>
    <t>JIBINRAJ K</t>
  </si>
  <si>
    <t>SONU P M</t>
  </si>
  <si>
    <t>E2096</t>
  </si>
  <si>
    <t>JISHNU ANAND</t>
  </si>
  <si>
    <t>KM: 30km (3 days: 17,20,21); Base Commute TA &amp; DA not eligible (Dist Hosp Barmer Dh)</t>
  </si>
  <si>
    <t>E2316</t>
  </si>
  <si>
    <t>Jit Das</t>
  </si>
  <si>
    <t>KM: 5km (1 days: 29)</t>
  </si>
  <si>
    <t>E2196</t>
  </si>
  <si>
    <t>Jitendra Kumar Bairwa</t>
  </si>
  <si>
    <t>KM: 100km (12 days: 7,13,14,15,17,21,22,23,24,25,27,28); Auto: ₹30 (1 days: 2); DA: ₹550 (2 days: 2,4); Base Commute TA &amp; DA not eligible (District Hosp Chittorgarh Dh); as per bill traval amount is 800</t>
  </si>
  <si>
    <t>Sumit Kumar</t>
  </si>
  <si>
    <t>E1771</t>
  </si>
  <si>
    <t>Jitendra Singh Gautam</t>
  </si>
  <si>
    <t>KM: 102km (5 days: 6,15,20,21,31); Auto: ₹300 (3 days: 21,28,30); DA: ₹250 (2 days: 28,31); Hotel: ₹1200 (1 days: 28); Base Commute TA &amp; DA not eligible; DA not allowed 300 without hotel stay; add hotel amount for claim DA</t>
  </si>
  <si>
    <t>E1924</t>
  </si>
  <si>
    <t>Kamaljeet singh shekhawat</t>
  </si>
  <si>
    <t>KM: 1km (1 days: 15); Auto: ₹280 (8 days: 3,4,6,7,8,10,13,14); Base Commute TA not eligible (Pbm MC And Hosp Bikaner); TA not Allowed</t>
  </si>
  <si>
    <t>E2317</t>
  </si>
  <si>
    <t>Kashif alam</t>
  </si>
  <si>
    <t>KM: 35km (4 days: 22,25,27,31); Auto: ₹100 (1 days: 7); DA: ₹2403 (8 days: 10,11,13,14,15,16,17,18); Only 50 ruppee allowed From hotel to Office; Da Not approved by Vinod sir; Da Not approved From vinod sir; 12 KM to Dh not acceptable; 12KM to Dh not acceptable; 10Km to Dh not acceptable; 10 km to Dh not acceptable</t>
  </si>
  <si>
    <t>E1744</t>
  </si>
  <si>
    <t>Kedarnath</t>
  </si>
  <si>
    <t>Auto: ₹280 (7 days: 6,7,8,9,10,11,13); Base Commute TA not eligible (Pbm MC And Hosp Bikaner)</t>
  </si>
  <si>
    <t>E-1639</t>
  </si>
  <si>
    <t>Khalid Sultan Lodi</t>
  </si>
  <si>
    <t>KM: 245km (12 days: 1,7,10,11,13,14,15,23,24,27,29,30); Base Commute TA &amp; DA not eligible (Mahatma Gandhi Hosp Jodhpur)</t>
  </si>
  <si>
    <t>E1690</t>
  </si>
  <si>
    <t>Sr.Calibration Engineer</t>
  </si>
  <si>
    <t>Khushwant Gahlot</t>
  </si>
  <si>
    <t>E1905</t>
  </si>
  <si>
    <t>Krishna Solanki</t>
  </si>
  <si>
    <t>KM: 431km (26 days: 1,2,3,4,6,7,8,9,10,11,13,14,15,16,17,18,20,21,22,23,24,25,27,28,30,31); Base Commute TA not eligible (Mathura Das Mathur Hosp Jodhpur)</t>
  </si>
  <si>
    <t>E1751</t>
  </si>
  <si>
    <t>Krishsna Vyas</t>
  </si>
  <si>
    <t>KM: 11km (2 days: 16,21); Base Commute TA &amp; DA not eligible (Degana Sdh Nagaur); Degana home to Chhoti Khatu Chc only 45 km</t>
  </si>
  <si>
    <t>E2203</t>
  </si>
  <si>
    <t>Kundan Kumar</t>
  </si>
  <si>
    <t>KM: 5km (1 days: 30); DA: ₹500 (2 days: 17,18); Base Commute TA &amp; DA not eligible (Jawahar Hosp Jaisalmer Dh)</t>
  </si>
  <si>
    <t>E2136</t>
  </si>
  <si>
    <t>Lalit Kumar</t>
  </si>
  <si>
    <t>KM: 10km (1 days: 20); Base Commute TA &amp; DA not eligible (D B Government Hosp Churu Dh)</t>
  </si>
  <si>
    <t>E1949</t>
  </si>
  <si>
    <t>Mahanta Mondal</t>
  </si>
  <si>
    <t>E2119</t>
  </si>
  <si>
    <t>Mahaveer Singh Parihar</t>
  </si>
  <si>
    <t>KM: 386km (25 days: 1,2,3,4,6,7,8,9,10,11,13,14,15,16,17,21,22,23,24,25,27,28,29,30,31); Base Commute TA not eligible (Mathura Das Mathur Hosp Jodhpur)</t>
  </si>
  <si>
    <t>E1727</t>
  </si>
  <si>
    <t>Mahendra</t>
  </si>
  <si>
    <t>KM: 38km (4 days: 10,23,27,31); DA: ₹300 (2 days: 27,31); for medical clg TA not allowed; not allowed; extra km</t>
  </si>
  <si>
    <t>E1667</t>
  </si>
  <si>
    <t>Mandeep</t>
  </si>
  <si>
    <t>KM: 41km (2 days: 24,25); Badnor Chc only 85 KM; 55 km pass; 32 km approval; 32 km pass; 45 km approval; 57 km approval; Ok approve; Zanana Hospital only 10km; Gothiyana Phc only 55km</t>
  </si>
  <si>
    <t>E2120</t>
  </si>
  <si>
    <t>Manendra Sen</t>
  </si>
  <si>
    <t>KM: 97km (5 days: 21,23,24,27,29); Raipur omly 65km; Raipur only 65km; KILOMETER IS NOT ACTUAL; actul kilmeter is showing 33</t>
  </si>
  <si>
    <t>E2050</t>
  </si>
  <si>
    <t>Manish</t>
  </si>
  <si>
    <t>KM: 42km (5 days: 4,8,25,29,31); DA: ₹700 (4 days: 4,8,10,11); Base Commute TA &amp; DA not eligible (Bhadra Sdh Hanumangarh); Exact location on map 52 km</t>
  </si>
  <si>
    <t>E1888</t>
  </si>
  <si>
    <t>Jaipur</t>
  </si>
  <si>
    <t>Manish Choudhary</t>
  </si>
  <si>
    <t>DA only 150 allowed</t>
  </si>
  <si>
    <t>E1769</t>
  </si>
  <si>
    <t>Manjeet singh</t>
  </si>
  <si>
    <t>KM: 15km (3 days: 15,17,27); DA: ₹150 (1 days: 27); DA applicable; DA not allowed</t>
  </si>
  <si>
    <t>E1671</t>
  </si>
  <si>
    <t>Manoj Kumar Pal</t>
  </si>
  <si>
    <t>limit distance</t>
  </si>
  <si>
    <t>E1892</t>
  </si>
  <si>
    <t>Manvendra Singh Yaduvanshi</t>
  </si>
  <si>
    <t>KM: 221km (7 days: 2,3,6,8,18,21,31); Auto: ₹570 (3 days: 3,14,15); DA: ₹2050 (10 days: 2,6,8,13,17,20,21,27,28,31); Base Commute TA &amp; DA not eligible; rnt working DA not allowed; DA NOT ALLOWED</t>
  </si>
  <si>
    <t>E2052</t>
  </si>
  <si>
    <t>MITHILESH KUMAR</t>
  </si>
  <si>
    <t>KM: 30km (8 days: 5,9,10,17,18,27,29,30); DA: ₹900 (5 days: 9,10,11,17,18); Base Commute TA &amp; DA not eligible (Govt Hosp Sojat Sdh Pali)</t>
  </si>
  <si>
    <t>E1774</t>
  </si>
  <si>
    <t>Modaram prajapat</t>
  </si>
  <si>
    <t>KM: 116km (26 days: 1,2,3,4,6,7,8,9,10,11,13,15,16,17,18,19,20,21,22,23,24,25,27,28,30,31); Base Commute TA not eligible (Mathura Das Mathur Hosp Jodhpur)</t>
  </si>
  <si>
    <t>E2167</t>
  </si>
  <si>
    <t>Mohammad Javed</t>
  </si>
  <si>
    <t>KM: 3km (1 days: 28); DA: ₹150 (1 days: 9); Base Commute TA &amp; DA not eligible (M G Hosp Banswara Dh)</t>
  </si>
  <si>
    <t>E2324</t>
  </si>
  <si>
    <t>Mohammad Tausif Hasan</t>
  </si>
  <si>
    <t>KM: 53km (14 days: 15,16,17,18,19,20,21,22,23,24,25,27,29,31); Base Commute TA not eligible (Mathura Das Mathur Hosp Jodhpur)</t>
  </si>
  <si>
    <t>E1674</t>
  </si>
  <si>
    <t>KM: 65km (6 days: 1,16,17,18,25,26); DA: ₹200 (1 days: 13)</t>
  </si>
  <si>
    <t>E1626</t>
  </si>
  <si>
    <t>Mohit Banjara</t>
  </si>
  <si>
    <t>Auto: ₹2 (1 days: 26); No Travel</t>
  </si>
  <si>
    <t>E1685</t>
  </si>
  <si>
    <t>Mukesh Kumar</t>
  </si>
  <si>
    <t>KM: 70km (3 days: 13,23,24); Edited  bike allowance 70 KM; Approved 45 KM; Approved 65 KM/ one side; Approved 65 KM / one side; Approved autofare is RS 150/-; Approved Auto fare is RS 150/-; Approved 45 KM only; Approved only 65 KM</t>
  </si>
  <si>
    <t>E1700</t>
  </si>
  <si>
    <t>Mukesh sharma</t>
  </si>
  <si>
    <t>KM: 541km (19 days: 1,2,3,4,6,7,8,9,11,13,14,15,16,17,18,22,28,29,30); Base Commute TA not eligible (Mathura Das Mathur Hosp Jodhpur)</t>
  </si>
  <si>
    <t>E2049</t>
  </si>
  <si>
    <t>Narendra Kumar Kumawat</t>
  </si>
  <si>
    <t>KM: 30km (4 days: 23,24,25,29); Auto: ₹400 (11 days: 1,2,3,4,6,7,8,9,10,11,13); Base Commute TA not eligible (Pbm MC And Hosp Bikaner)</t>
  </si>
  <si>
    <t>Sunil Vishnoi</t>
  </si>
  <si>
    <t>E1859</t>
  </si>
  <si>
    <t>Narendra Pushkarna</t>
  </si>
  <si>
    <t>KM: 32km (2 days: 14,30); da not allowed; km wrong</t>
  </si>
  <si>
    <t>E1861</t>
  </si>
  <si>
    <t>Naresh Patel</t>
  </si>
  <si>
    <t>KM: 101km (4 days: 7,8,22,27); DA: ₹300 (2 days: 8,22); Base Commute TA &amp; DA not eligible; 71KM; not allowed; extra km</t>
  </si>
  <si>
    <t>E2305</t>
  </si>
  <si>
    <t>Service Engineer</t>
  </si>
  <si>
    <t>Naveen Kumar</t>
  </si>
  <si>
    <t>Auto: ₹320 (8 days: 1,2,3,4,6,7,8,9); Base Commute TA not eligible (Pbm MC And Hosp Bikaner)</t>
  </si>
  <si>
    <t>E1717</t>
  </si>
  <si>
    <t>Auto: ₹50 (1 days: 18); Base Commute TA not eligible (Mathura Das Mathur Hosp Jodhpur)</t>
  </si>
  <si>
    <t>E2323</t>
  </si>
  <si>
    <t>NEERAJ KUMAR VERMA</t>
  </si>
  <si>
    <t>KM: 146km (15 days: 11,13,14,15,16,17,18,21,22,23,27,28,29,30,31); Base Commute TA not eligible (Mathura Das Mathur Hosp Jodhpur)</t>
  </si>
  <si>
    <t>E2131</t>
  </si>
  <si>
    <t>Neeraj P</t>
  </si>
  <si>
    <t>KM: 45km (1 days: 20)</t>
  </si>
  <si>
    <t>E1695</t>
  </si>
  <si>
    <t>Nikhil Audichya</t>
  </si>
  <si>
    <t>KM: 330km (17 days: 1,4,6,7,8,10,14,15,17,23,24,25,26,27,28,29,30); DA: ₹1800 (9 days: 4,6,7,8,10,14,17,23,25); Base Commute TA &amp; DA not eligible; DA not Allowed; DA not allowet</t>
  </si>
  <si>
    <t>E2005</t>
  </si>
  <si>
    <t>MM1</t>
  </si>
  <si>
    <t>Divisional Manager</t>
  </si>
  <si>
    <t>KM: 168km (21 days: 1,2,3,8,9,10,11,13,14,15,16,17,18,20,22,24,25,28,29,30,31); Base Commute TA not eligible (Mathura Das Mathur Hosp Jodhpur)</t>
  </si>
  <si>
    <t>E-2298</t>
  </si>
  <si>
    <t>Pankaj Saini</t>
  </si>
  <si>
    <t>KM: 50km (5 days: 11,18,19,24,29)</t>
  </si>
  <si>
    <t>E1707</t>
  </si>
  <si>
    <t>Sr.Service Engineer</t>
  </si>
  <si>
    <t>Paras Khatik</t>
  </si>
  <si>
    <t>KM: 20km (7 days: 21,22,23,25,27,29,30); DA: ₹750 (5 days: 2,7,10,11,13); Base Commute TA &amp; DA not eligible</t>
  </si>
  <si>
    <t>E2156</t>
  </si>
  <si>
    <t>Pardeep</t>
  </si>
  <si>
    <t>KM: 25km (3 days: 10,27,29); Base Commute TA &amp; DA not eligible (District Hosp Nagaur Dh); Merta City only 80km Distance</t>
  </si>
  <si>
    <t>E2307</t>
  </si>
  <si>
    <t>Pradeep Kumar</t>
  </si>
  <si>
    <t>Amount adjusted</t>
  </si>
  <si>
    <t>Prem Chand Sharma</t>
  </si>
  <si>
    <t>E1696</t>
  </si>
  <si>
    <t>Pramod Kumar</t>
  </si>
  <si>
    <t>KM: 12km (1 days: 18); DA: ₹600 (4 days: 2,6,9,13); Base Commute TA &amp; DA not eligible (Govt Hosp Sriganganagar Dh)</t>
  </si>
  <si>
    <t>E1635</t>
  </si>
  <si>
    <t>E1606</t>
  </si>
  <si>
    <t>PREM KUMAR</t>
  </si>
  <si>
    <t>E1973</t>
  </si>
  <si>
    <t>Premsagar Bhardwaj</t>
  </si>
  <si>
    <t>KM: 200km (3 days: 22,23,24); Auto: ₹100 (2 days: 11,25); Hotel: ₹1900 (2 days: 4,15); Not Hotel attached.; Check out morning.; Wrong visit</t>
  </si>
  <si>
    <t>E2319</t>
  </si>
  <si>
    <t>RADHESHYAM</t>
  </si>
  <si>
    <t>KM: 53km (6 days: 16,18,21,23,24,30)</t>
  </si>
  <si>
    <t>E2028</t>
  </si>
  <si>
    <t>RAGHUNANDAN YADAV</t>
  </si>
  <si>
    <t>KM: 40km (4 days: 4,24,27,29)</t>
  </si>
  <si>
    <t>E1465</t>
  </si>
  <si>
    <t>KM: 250km (6 days: 1,2,3,8,11,13); DA: ₹850 (4 days: 2,8,13,18); Base Commute TA &amp; DA not eligible (Govt Bangur Hopital Pali Dh)</t>
  </si>
  <si>
    <t>E1851</t>
  </si>
  <si>
    <t>Rajesh Kumar Sharma</t>
  </si>
  <si>
    <t>KM: 78km (7 days: 10,13,15,18,21,29,31); Base Commute TA not eligible (Jln Hosp Ajmer, Jln MC Ajmer); Civil Lines to Bhinay CHC only 65 KM; Bhinay to Civil Lines  CHC only 65 KM; 65 KM BEAWAR; 65Km Beawar; staelite is 12 km; Zanana only 12km</t>
  </si>
  <si>
    <t>E1678</t>
  </si>
  <si>
    <t>Rajesh Raj</t>
  </si>
  <si>
    <t>KM: 10km (1 days: 30); Kishangarh only 35 Km</t>
  </si>
  <si>
    <t>E1640</t>
  </si>
  <si>
    <t>Rajkumar Vyas</t>
  </si>
  <si>
    <t>KM: 136km (10 days: 3,9,10,11,13,20,24,25,26,28); DA: ₹1500 (10 days: 3,9,10,11,13,20,24,25,26,28); Base Commute TA &amp; DA not eligible; not allowed</t>
  </si>
  <si>
    <t>E1691</t>
  </si>
  <si>
    <t>RAKESH SARAN</t>
  </si>
  <si>
    <t>KM: 164km (10 days: 10,15,18,20,21,22,23,27,29,30); Base Commute TA &amp; DA not eligible (Mahatma Gandhi Hosp Jodhpur); Actually 38km</t>
  </si>
  <si>
    <t>E1730</t>
  </si>
  <si>
    <t>Specialist Engineer (Ultrasound)</t>
  </si>
  <si>
    <t>Ramakant Verma</t>
  </si>
  <si>
    <t>KM: 6km (1 days: 31); Civil line to Satellite Hospital Adarsh Nagar only 10 KM; Satellite Hospital Adarsh Nagar to Civil line   only 10 KM</t>
  </si>
  <si>
    <t>E2053</t>
  </si>
  <si>
    <t>Ramesh Chand kumawat</t>
  </si>
  <si>
    <t>KM: 20km (2 days: 25,29); DA: ₹250 (5 days: 16,17,18,20,21); Base Commute TA &amp; DA not eligible (Govt Hosp Sojat Sdh Pali); Outdoor not approved</t>
  </si>
  <si>
    <t>E1723</t>
  </si>
  <si>
    <t>Ramesh Chandra Patel</t>
  </si>
  <si>
    <t>KM: 118km (9 days: 6,7,11,13,14,17,20,25,30); Shortest distance</t>
  </si>
  <si>
    <t>E2074</t>
  </si>
  <si>
    <t>RAMMOHAN</t>
  </si>
  <si>
    <t>Base Commute TA &amp; DA not eligible (Jawahar Hosp Jaisalmer Dh)</t>
  </si>
  <si>
    <t>E1925</t>
  </si>
  <si>
    <t>Base DA not eligible</t>
  </si>
  <si>
    <t>E1860</t>
  </si>
  <si>
    <t>Base Commute TA not eligible (Govt Hosp Sojat Sdh Pali)</t>
  </si>
  <si>
    <t>E1793</t>
  </si>
  <si>
    <t>Ratan Lal</t>
  </si>
  <si>
    <t>KM: 120km (10 days: 18,20,23,24,25,27,28,29,30,31); DA: ₹150 (1 days: 6); Base Commute TA &amp; DA not eligible (Pbm MC And Hosp Bikaner); DA Allowed</t>
  </si>
  <si>
    <t>E2296</t>
  </si>
  <si>
    <t>Ratnesh Kumar</t>
  </si>
  <si>
    <t>E1669</t>
  </si>
  <si>
    <t>Ravi Giri</t>
  </si>
  <si>
    <t>E2154</t>
  </si>
  <si>
    <t>Jr Biomedical Engineer</t>
  </si>
  <si>
    <t>Ravinder</t>
  </si>
  <si>
    <t>E1693</t>
  </si>
  <si>
    <t>RAVINDERPAL</t>
  </si>
  <si>
    <t>Hotel: ₹850 (1 days: 31); wrong distance entered; ALREADY 4 DAYS CLAIMED ON 27,28,29,30TH.</t>
  </si>
  <si>
    <t>E1615</t>
  </si>
  <si>
    <t>Rinku Sain</t>
  </si>
  <si>
    <t>KM: 24km (2 days: 18,29); Base Commute TA &amp; DA not eligible (M G Hosp Bhilwara Dh); KM IS NOT ACTUAL; KILOMETER IS NOT ACTUAL</t>
  </si>
  <si>
    <t>E1852</t>
  </si>
  <si>
    <t>Sr. Specialist Engineer (Lab)</t>
  </si>
  <si>
    <t>Ritesh pandey</t>
  </si>
  <si>
    <t>KM: 20km (2 days: 22,23); Auto: ₹80 (2 days: 4,6); Base Commute TA not eligible (Pbm MC And Hosp Bikaner)</t>
  </si>
  <si>
    <t>E1665</t>
  </si>
  <si>
    <t>RUPESH</t>
  </si>
  <si>
    <t>KM: 60km (7 days: 2,3,4,7,9,10,25); DA: ₹750 (5 days: 2,3,4,7,9); Base Commute TA &amp; DA not eligible (D B Government Hosp Churu Dh)</t>
  </si>
  <si>
    <t>E2155</t>
  </si>
  <si>
    <t>Sachin</t>
  </si>
  <si>
    <t>KM: 79km (6 days: 1,8,18,27,28,31); DA: ₹200 (4 days: 1,2,3,4); 150 DA; 50 KM; 100 KM</t>
  </si>
  <si>
    <t>E2306</t>
  </si>
  <si>
    <t>Sachin Verma</t>
  </si>
  <si>
    <t>KM: 2km (2 days: 23,30); DA: ₹600 (6 days: 1,2,3,4,13,14); 150; DA deducted as per Designation; DA edit; Auto fare change; 150 D; Dhamana to DH Chittorgarh; Via Gangrar toll plaza; Sadas to via Gangrar Chittorgarh; Km wrong mention Engineer side</t>
  </si>
  <si>
    <t>E1610</t>
  </si>
  <si>
    <t>Sahil Khan</t>
  </si>
  <si>
    <t>Auto: ₹40 (1 days: 4); Base Commute TA not eligible (Pbm MC And Hosp Bikaner); Approved 30KM / one side; Approved 30 KM per one side; Deducted RS 40; Deducted RS 43/-; Deducted additional Auto amuont; DA is RS 150/-; Approved only RS 80/-; Only approved RS 80 /-; Auto fare approved only 50</t>
  </si>
  <si>
    <t>E1637</t>
  </si>
  <si>
    <t>Senior Specialist Engineer (BBR)</t>
  </si>
  <si>
    <t>Sajaruddin</t>
  </si>
  <si>
    <t>KM: 25km (5 days: 20,21,29,30,31); DA: ₹1000 (5 days: 8,9,10,11,13); Base Commute TA &amp; DA not eligible (District Sahadat Hosp Tonk Dh)</t>
  </si>
  <si>
    <t>E1877</t>
  </si>
  <si>
    <t>Sampat Kumar</t>
  </si>
  <si>
    <t>KM: 42km (4 days: 11,23,30,31); DA: ₹150 (1 days: 11); Base Commute TA &amp; DA not eligible (Gov. Hospital, Sujangarh Sdh); DA Allowed</t>
  </si>
  <si>
    <t>E2335</t>
  </si>
  <si>
    <t>Sandeep Pal</t>
  </si>
  <si>
    <t>KM: 40km (2 days: 22,23)</t>
  </si>
  <si>
    <t>E1957</t>
  </si>
  <si>
    <t>Sandeep Singh Chouhan</t>
  </si>
  <si>
    <t>E1926</t>
  </si>
  <si>
    <t>MM3</t>
  </si>
  <si>
    <t>E1702</t>
  </si>
  <si>
    <t>KM: 32km (2 days: 28,29); DA: ₹400 (2 days: 11,23)</t>
  </si>
  <si>
    <t>E1701</t>
  </si>
  <si>
    <t>Sarvesh Chaurasia</t>
  </si>
  <si>
    <t>KM: 35km (4 days: 21,25,27,30); Base Commute TA &amp; DA not eligible (Govt Bangur Hopital Pali Dh)</t>
  </si>
  <si>
    <t>E2081</t>
  </si>
  <si>
    <t>Satarupa Duary</t>
  </si>
  <si>
    <t>KM: 52km (26 days: 1,2,3,4,6,7,8,9,10,11,13,14,15,16,18,19,20,21,22,23,24,26,27,28,29,30); Base Commute TA not eligible (Mathura Das Mathur Hosp Jodhpur)</t>
  </si>
  <si>
    <t>E1878</t>
  </si>
  <si>
    <t>KM: 183km (11 days: 3,10,11,13,14,15,16,20,22,23,24); Base DA not eligible; same place different km not possib;e.</t>
  </si>
  <si>
    <t>E1697</t>
  </si>
  <si>
    <t>KM: 85km (12 days: 2,14,15,16,17,21,22,23,28,29,30,31); DA: ₹2100 (6 days: 6,7,8,9,14,18); Base Commute TA &amp; DA not eligible (District Sahadat Hosp Tonk Dh)</t>
  </si>
  <si>
    <t>E1762</t>
  </si>
  <si>
    <t>Auto: ₹360 (9 days: 1,2,3,4,6,7,8,11,13); Base Commute TA not eligible (Pbm MC And Hosp Bikaner)</t>
  </si>
  <si>
    <t>E2157</t>
  </si>
  <si>
    <t>Sheraram Choyal</t>
  </si>
  <si>
    <t>KM: 10km (4 days: 14,15,25,28); Base Commute TA &amp; DA not eligible (General Hosp Didwana Nagaur)</t>
  </si>
  <si>
    <t>E1750</t>
  </si>
  <si>
    <t>KM: 6km (1 days: 21); DA change</t>
  </si>
  <si>
    <t>E1821</t>
  </si>
  <si>
    <t>Shiv Lal Patel</t>
  </si>
  <si>
    <t>KM: 60km (6 days: 2,14,20,22,24,27); DA: ₹350 (2 days: 4,31); Other: ₹50 (1 days: 30); 60KM; 10KM; 90KM; 62 km; 70 KM; Sim Recharge allowed only 300; not allowed</t>
  </si>
  <si>
    <t>E1742</t>
  </si>
  <si>
    <t>Shivam Bhardwaj</t>
  </si>
  <si>
    <t>E2295</t>
  </si>
  <si>
    <t>Shridhar Pareek</t>
  </si>
  <si>
    <t>KM: 42km (3 days: 15,21,30); DA: ₹1350 (9 days: 2,4,6,7,8,9,10,11,13); Base Commute TA &amp; DA not eligible (Dh Hanumangarh Town Dh)</t>
  </si>
  <si>
    <t>E1927</t>
  </si>
  <si>
    <t>Shubam Verma</t>
  </si>
  <si>
    <t>KM: 21km (6 days: 1,20,21,25,26,31); DA: ₹200 (1 days: 1); JLN  to Zanana only 12 kM; Zanana to JLN  only 12 KM; 12 km from jln; 14 km zanana to topdara</t>
  </si>
  <si>
    <t>CT602</t>
  </si>
  <si>
    <t>Shubham Soni</t>
  </si>
  <si>
    <t>E695</t>
  </si>
  <si>
    <t>Sijo Zachariah</t>
  </si>
  <si>
    <t>KM: 10km (1 days: 29); Auto: ₹900 (11 days: 1,2,3,6,7,8,9,10,13,15,16); Base Commute TA not eligible (Pbm MC And Hosp Bikaner); YA not allowed; TA not allowed; Call details not mentioned</t>
  </si>
  <si>
    <t>E1720</t>
  </si>
  <si>
    <t>District Incharge</t>
  </si>
  <si>
    <t>KM: 10km (1 days: 2); DA: ₹700 (3 days: 2,17,18); Base Commute TA &amp; DA not eligible (D B Government Hosp Churu Dh)</t>
  </si>
  <si>
    <t>E1755</t>
  </si>
  <si>
    <t>SONU</t>
  </si>
  <si>
    <t>KM: 10km (1 days: 16); Auto: ₹50 (1 days: 5); DA: ₹150 (1 days: 5); Base Commute TA &amp; DA not eligible; Distance  45KM; Distance 60 km; 60k m; Base location TA not allowed; 150DA; 20KM; TA restored per user request; Distance restored per user request; Total amount updated after TA restoration; 45 km; 45km; DA 150; 60km; 70km; 20 km</t>
  </si>
  <si>
    <t>E1725</t>
  </si>
  <si>
    <t>DA: ₹500 (2 days: 17,18)</t>
  </si>
  <si>
    <t>E1661</t>
  </si>
  <si>
    <t>Subhash Yadav</t>
  </si>
  <si>
    <t>KM: 10km (2 days: 17,20)</t>
  </si>
  <si>
    <t>E1684</t>
  </si>
  <si>
    <t>Sudhir Kumar</t>
  </si>
  <si>
    <t>Distance only 1KM</t>
  </si>
  <si>
    <t>E2303</t>
  </si>
  <si>
    <t>Sr. Service Engineer</t>
  </si>
  <si>
    <t>Rajesthan</t>
  </si>
  <si>
    <t>SUDIP KONAI</t>
  </si>
  <si>
    <t>E2101</t>
  </si>
  <si>
    <t>Service Manager</t>
  </si>
  <si>
    <t>KM: 120km (12 days: 2,7,8,10,14,16,22,24,25,28,29,30); Base Commute TA &amp; DA not eligible (Dist Hosp Barmer Dh)</t>
  </si>
  <si>
    <t>E1776</t>
  </si>
  <si>
    <t>KM: 47km (8 days: 8,18,20,24,26,27,28,29); DA: ₹600 (3 days: 2,5,6); Base Commute TA &amp; DA not eligible (District Hosp Chittorgarh Dh)</t>
  </si>
  <si>
    <t>E1703</t>
  </si>
  <si>
    <t>KM: 90km (9 days: 7,8,9,14,20,25,29,30,31); DA: ₹200 (1 days: 20)</t>
  </si>
  <si>
    <t>E1704</t>
  </si>
  <si>
    <t>Office Coordinator-DnD</t>
  </si>
  <si>
    <t>KM: 839km (4 days: 3,12,15,30)</t>
  </si>
  <si>
    <t>E2304</t>
  </si>
  <si>
    <t>Suraj Kumar</t>
  </si>
  <si>
    <t>E1692</t>
  </si>
  <si>
    <t>Suraj Singh</t>
  </si>
  <si>
    <t>KM: 65km (10 days: 2,10,13,16,19,20,24,25,28,30); DA: ₹750 (5 days: 2,10,13,19,20); Base Commute TA &amp; DA not eligible (Govt Bangur Hopital Pali Dh)</t>
  </si>
  <si>
    <t>E1664</t>
  </si>
  <si>
    <t>Tarun Kumar Darjee</t>
  </si>
  <si>
    <t>KM: 75km (4 days: 21,23,25,27); Auto: ₹50 (1 days: 9); Base DA not eligible; wromg km; wrong; wrong charges</t>
  </si>
  <si>
    <t>E1765</t>
  </si>
  <si>
    <t>KM: 70km (1 days: 9); DA: ₹400 (2 days: 9,15); Base Commute TA &amp; DA not eligible (Piparcity Hosp Jodhpur Dh)</t>
  </si>
  <si>
    <t>E1627</t>
  </si>
  <si>
    <t>Ujjwal Sharma</t>
  </si>
  <si>
    <t>Auto: ₹120 (3 days: 15,24,30); 100 IS OK; Mohit Has Claimed Same Amount; 100 IS ENOUGH</t>
  </si>
  <si>
    <t>E1605</t>
  </si>
  <si>
    <t>Vijay Kumar</t>
  </si>
  <si>
    <t>KM: 10km (1 days: 29); DA: ₹150 (1 days: 1); Base Commute TA &amp; DA not eligible (Dh Hanumangarh Town Dh); Exact location on map 30 km; Exact distance on map location 28 km</t>
  </si>
  <si>
    <t>E1940</t>
  </si>
  <si>
    <t>Vijendra Kumar Prajapati</t>
  </si>
  <si>
    <t>KM: 57km (10 days: 2,4,6,10,17,18,19,25,26,31); DA: ₹1050 (7 days: 2,4,6,10,17,18,19); Base Commute TA &amp; DA not eligible (Govt Bangur Hopital Pali Dh)</t>
  </si>
  <si>
    <t>E2153</t>
  </si>
  <si>
    <t>Vikas</t>
  </si>
  <si>
    <t>Amount adjusted; Wrong DA amount; Half DA</t>
  </si>
  <si>
    <t>E2322</t>
  </si>
  <si>
    <t>Vikas Bhoi</t>
  </si>
  <si>
    <t>KM: 30km (4 days: 13,14,15,17)</t>
  </si>
  <si>
    <t>E2031</t>
  </si>
  <si>
    <t>Vinay kumar</t>
  </si>
  <si>
    <t>Auto: ₹400 (10 days: 1,2,3,4,6,7,8,9,10,11); Base Commute TA not eligible (Pbm MC And Hosp Bikaner)</t>
  </si>
  <si>
    <t>E2225</t>
  </si>
  <si>
    <t>Vinod</t>
  </si>
  <si>
    <t>KM: 21km (1 days: 21); 63 KM; 60km; 70 km</t>
  </si>
  <si>
    <t>E1424</t>
  </si>
  <si>
    <t>MM4</t>
  </si>
  <si>
    <t>Project Head</t>
  </si>
  <si>
    <t>KM: 15km (1 days: 26)</t>
  </si>
  <si>
    <t>Amit Rawat</t>
  </si>
  <si>
    <t>E1662</t>
  </si>
  <si>
    <t>Vinod Kumar Pushkarna</t>
  </si>
  <si>
    <t>KM: 28km (2 days: 24,28)</t>
  </si>
  <si>
    <t>E1809</t>
  </si>
  <si>
    <t>KM: 61km (10 days: 4,8,11,13,15,16,17,24,27,31); DA: ₹400 (2 days: 4,11); Base Commute TA &amp; DA not eligible (District Hosp Pratapgarh Dh); da</t>
  </si>
  <si>
    <t>E1752</t>
  </si>
  <si>
    <t>Vipendra Singh</t>
  </si>
  <si>
    <t>KM: 15km (1 days: 21); DA: ₹250 (1 days: 16); Base DA not eligible; 700 bill attached hotel bill</t>
  </si>
  <si>
    <t>E2320</t>
  </si>
  <si>
    <t>Vivek kumar</t>
  </si>
  <si>
    <t>KM: 25km (3 days: 10,15,16)</t>
  </si>
  <si>
    <t>E1614</t>
  </si>
  <si>
    <t>WASIM KHAN</t>
  </si>
  <si>
    <t>KM: 85km (14 days: 8,9,11,13,15,17,19,20,23,24,25,28,29,30); DA: ₹300 (2 days: 9,13); Base Commute TA &amp; DA not eligible (D B Government Hosp Churu Dh)</t>
  </si>
  <si>
    <t>E1718</t>
  </si>
  <si>
    <t>Yaseen Ahamad</t>
  </si>
  <si>
    <t>KM: 35km (5 days: 14,15,16,17,28); DA: ₹150 (1 days: 6); Base Commute TA &amp; DA not eligible (District Hosp Chittorgarh Dh); 26KM; 26 KM; for DH, DA not allowed; Distance 66km; Distance 70km; If you had a bike, why did you take an auto to the hotel?; 31 km; Distance 45KM; Distance not exact; Distance 45 km; Km wrong mention</t>
  </si>
  <si>
    <t>E1624</t>
  </si>
  <si>
    <t>Yash Kachhawa</t>
  </si>
  <si>
    <t>E2297</t>
  </si>
  <si>
    <t>Ophthalmology Specialist</t>
  </si>
  <si>
    <t>Yogesh Verma</t>
  </si>
  <si>
    <t>KM: 240km (20 days: 4,5,6,7,8,9,10,13,15,16,17,18,23,24,25,27,28,29,30,31)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</si>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</sst>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sz val="9.5"/>
      <name val="Segoe UI"/>
    </font>
    <font>
      <b/>
      <sz val="9.5"/>
      <name val="Segoe UI"/>
    </font>
    <font>
      <color rgb="FFD32F2F"/>
      <sz val="9.5"/>
      <name val="Segoe UI"/>
    </font>
    <font>
      <b/>
      <color rgb="FF2E7D32"/>
      <sz val="9.5"/>
      <name val="Segoe UI"/>
    </font>
    <font>
      <b/>
      <color rgb="FFD32F2F"/>
      <sz val="9.5"/>
      <name val="Segoe UI"/>
    </font>
    <font>
      <b/>
      <color rgb="FF1B5E20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 style="thin">
        <color rgb="FF1B5E20"/>
      </left>
      <right style="thin">
        <color rgb="FF1B5E20"/>
      </right>
      <top style="thin">
        <color rgb="FF1B5E20"/>
      </top>
      <bottom style="thin">
        <color rgb="FF1B5E20"/>
      </bottom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  <border>
      <left/>
      <right/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4" fontId="3" fillId="0" borderId="2" xfId="0" applyNumberFormat="1" applyFont="1" applyBorder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4" fontId="6" fillId="0" borderId="2" xfId="0" applyNumberFormat="1" applyFont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/>
    </xf>
    <xf numFmtId="4" fontId="7" fillId="3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5" customWidth="1"/>
    <col min="3" max="3" width="16" customWidth="1"/>
    <col min="4" max="4" width="12" customWidth="1"/>
    <col min="5" max="5" width="10" customWidth="1"/>
    <col min="6" max="6" width="26" customWidth="1"/>
    <col min="7" max="7" width="14" customWidth="1"/>
    <col min="8" max="8" width="28" customWidth="1"/>
    <col min="9" max="10" width="24" customWidth="1"/>
    <col min="11" max="11" width="18" customWidth="1"/>
    <col min="12" max="12" width="22" customWidth="1"/>
    <col min="13" max="13" width="18" customWidth="1"/>
    <col min="14" max="16" width="20" customWidth="1"/>
    <col min="17" max="18" width="16" customWidth="1"/>
    <col min="19" max="19" width="14" customWidth="1"/>
    <col min="20" max="20" width="16" customWidth="1"/>
    <col min="21" max="22" width="12" customWidth="1"/>
    <col min="23" max="23" width="45" customWidth="1"/>
    <col min="24" max="24" width="14" customWidth="1"/>
    <col min="25" max="25" width="12" customWidth="1"/>
    <col min="26" max="26" width="20" customWidth="1"/>
    <col min="27" max="27" width="22" customWidth="1"/>
    <col min="28" max="28" width="14" customWidth="1"/>
    <col min="29" max="29" width="20" customWidth="1"/>
    <col min="30" max="30" width="16" customWidth="1"/>
  </cols>
  <sheetData>
    <row r="1" ht="30" customHeight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0" customHeight="1" spans="1:30" x14ac:dyDescent="0.25">
      <c r="A2" s="2">
        <v>1</v>
      </c>
      <c r="B2" s="3" t="s">
        <v>30</v>
      </c>
      <c r="C2" s="3" t="s">
        <v>31</v>
      </c>
      <c r="D2" s="2" t="s">
        <v>32</v>
      </c>
      <c r="E2" s="2" t="s">
        <v>33</v>
      </c>
      <c r="F2" s="3" t="s">
        <v>34</v>
      </c>
      <c r="G2" s="3" t="s">
        <v>35</v>
      </c>
      <c r="H2" s="3" t="s">
        <v>36</v>
      </c>
      <c r="I2" s="4">
        <f>(550.00*4.5)+(0.00*9)</f>
      </c>
      <c r="J2" s="4">
        <f>3000.00+2360.00</f>
      </c>
      <c r="K2" s="4">
        <v>5050</v>
      </c>
      <c r="L2" s="4">
        <v>5166</v>
      </c>
      <c r="M2" s="4">
        <v>100</v>
      </c>
      <c r="N2" s="4">
        <v>7730</v>
      </c>
      <c r="O2" s="4">
        <v>0</v>
      </c>
      <c r="P2" s="4">
        <v>0</v>
      </c>
      <c r="Q2" s="4">
        <v>0</v>
      </c>
      <c r="R2" s="5">
        <f>SUM(I2:Q2)</f>
      </c>
      <c r="S2" s="6">
        <v>0</v>
      </c>
      <c r="T2" s="7">
        <f>R2-S2</f>
      </c>
      <c r="U2" s="3" t="s">
        <v>37</v>
      </c>
      <c r="V2" s="3" t="s">
        <v>38</v>
      </c>
      <c r="W2" s="3" t="s">
        <v>39</v>
      </c>
      <c r="X2" s="3" t="s">
        <v>40</v>
      </c>
      <c r="Y2" s="3" t="s">
        <v>41</v>
      </c>
      <c r="Z2" s="3" t="s">
        <v>37</v>
      </c>
      <c r="AA2" s="3" t="s">
        <v>42</v>
      </c>
      <c r="AB2" s="3" t="s">
        <v>43</v>
      </c>
      <c r="AC2" s="4">
        <v>27108.5</v>
      </c>
      <c r="AD2" s="8">
        <f>AC2-R2</f>
      </c>
    </row>
    <row r="3" ht="20" customHeight="1" spans="1:30" x14ac:dyDescent="0.25">
      <c r="A3" s="2">
        <v>2</v>
      </c>
      <c r="B3" s="3" t="s">
        <v>30</v>
      </c>
      <c r="C3" s="3" t="s">
        <v>31</v>
      </c>
      <c r="D3" s="2" t="s">
        <v>44</v>
      </c>
      <c r="E3" s="2" t="s">
        <v>45</v>
      </c>
      <c r="F3" s="3" t="s">
        <v>46</v>
      </c>
      <c r="G3" s="3" t="s">
        <v>47</v>
      </c>
      <c r="H3" s="3" t="s">
        <v>48</v>
      </c>
      <c r="I3" s="4">
        <f>(0.00*4.5)+(0.00*9)</f>
      </c>
      <c r="J3" s="4">
        <f>519.00+2385.00</f>
      </c>
      <c r="K3" s="4">
        <v>5050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5">
        <f>SUM(I3:Q3)</f>
      </c>
      <c r="S3" s="6">
        <v>0</v>
      </c>
      <c r="T3" s="7">
        <f>R3-S3</f>
      </c>
      <c r="U3" s="3" t="s">
        <v>37</v>
      </c>
      <c r="V3" s="3" t="s">
        <v>38</v>
      </c>
      <c r="W3" s="3" t="s">
        <v>49</v>
      </c>
      <c r="X3" s="3" t="s">
        <v>40</v>
      </c>
      <c r="Y3" s="3" t="s">
        <v>41</v>
      </c>
      <c r="Z3" s="3" t="s">
        <v>37</v>
      </c>
      <c r="AA3" s="3" t="s">
        <v>50</v>
      </c>
      <c r="AB3" s="3" t="s">
        <v>43</v>
      </c>
      <c r="AC3" s="4">
        <v>8604</v>
      </c>
      <c r="AD3" s="8">
        <f>AC3-R3</f>
      </c>
    </row>
    <row r="4" ht="20" customHeight="1" spans="1:30" x14ac:dyDescent="0.25">
      <c r="A4" s="2">
        <v>3</v>
      </c>
      <c r="B4" s="3" t="s">
        <v>30</v>
      </c>
      <c r="C4" s="3" t="s">
        <v>31</v>
      </c>
      <c r="D4" s="2" t="s">
        <v>51</v>
      </c>
      <c r="E4" s="2" t="s">
        <v>52</v>
      </c>
      <c r="F4" s="3" t="s">
        <v>53</v>
      </c>
      <c r="G4" s="3" t="s">
        <v>54</v>
      </c>
      <c r="H4" s="3" t="s">
        <v>55</v>
      </c>
      <c r="I4" s="4">
        <f>(1990.00*4.5)+(0.00*9)</f>
      </c>
      <c r="J4" s="4">
        <f>0.00+0.00</f>
      </c>
      <c r="K4" s="4">
        <v>3300</v>
      </c>
      <c r="L4" s="4">
        <v>60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5">
        <f>SUM(I4:Q4)</f>
      </c>
      <c r="S4" s="6">
        <v>0</v>
      </c>
      <c r="T4" s="7">
        <f>R4-S4</f>
      </c>
      <c r="U4" s="3" t="s">
        <v>37</v>
      </c>
      <c r="V4" s="3" t="s">
        <v>38</v>
      </c>
      <c r="W4" s="3" t="s">
        <v>56</v>
      </c>
      <c r="X4" s="3" t="s">
        <v>40</v>
      </c>
      <c r="Y4" s="3" t="s">
        <v>41</v>
      </c>
      <c r="Z4" s="3" t="s">
        <v>37</v>
      </c>
      <c r="AA4" s="3" t="s">
        <v>57</v>
      </c>
      <c r="AB4" s="3" t="s">
        <v>43</v>
      </c>
      <c r="AC4" s="4">
        <v>12337.5</v>
      </c>
      <c r="AD4" s="8">
        <f>AC4-R4</f>
      </c>
    </row>
    <row r="5" ht="20" customHeight="1" spans="1:30" x14ac:dyDescent="0.25">
      <c r="A5" s="2">
        <v>4</v>
      </c>
      <c r="B5" s="3" t="s">
        <v>30</v>
      </c>
      <c r="C5" s="3" t="s">
        <v>31</v>
      </c>
      <c r="D5" s="2" t="s">
        <v>58</v>
      </c>
      <c r="E5" s="2" t="s">
        <v>59</v>
      </c>
      <c r="F5" s="3" t="s">
        <v>60</v>
      </c>
      <c r="G5" s="3" t="s">
        <v>61</v>
      </c>
      <c r="H5" s="3" t="s">
        <v>62</v>
      </c>
      <c r="I5" s="4">
        <f>(2396.00*4.5)+(0.00*9)</f>
      </c>
      <c r="J5" s="4">
        <f>210.00+430.00</f>
      </c>
      <c r="K5" s="4">
        <v>4200</v>
      </c>
      <c r="L5" s="4">
        <v>2240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5">
        <f>SUM(I5:Q5)</f>
      </c>
      <c r="S5" s="6">
        <v>0</v>
      </c>
      <c r="T5" s="7">
        <f>R5-S5</f>
      </c>
      <c r="U5" s="3" t="s">
        <v>37</v>
      </c>
      <c r="V5" s="3" t="s">
        <v>38</v>
      </c>
      <c r="W5" s="3" t="s">
        <v>63</v>
      </c>
      <c r="X5" s="3" t="s">
        <v>40</v>
      </c>
      <c r="Y5" s="3" t="s">
        <v>41</v>
      </c>
      <c r="Z5" s="3" t="s">
        <v>37</v>
      </c>
      <c r="AA5" s="3" t="s">
        <v>64</v>
      </c>
      <c r="AB5" s="3" t="s">
        <v>43</v>
      </c>
      <c r="AC5" s="4">
        <v>18957.5</v>
      </c>
      <c r="AD5" s="8">
        <f>AC5-R5</f>
      </c>
    </row>
    <row r="6" ht="20" customHeight="1" spans="1:30" x14ac:dyDescent="0.25">
      <c r="A6" s="2">
        <v>5</v>
      </c>
      <c r="B6" s="3" t="s">
        <v>30</v>
      </c>
      <c r="C6" s="3" t="s">
        <v>31</v>
      </c>
      <c r="D6" s="2" t="s">
        <v>65</v>
      </c>
      <c r="E6" s="2" t="s">
        <v>66</v>
      </c>
      <c r="F6" s="3" t="s">
        <v>60</v>
      </c>
      <c r="G6" s="3" t="s">
        <v>61</v>
      </c>
      <c r="H6" s="3" t="s">
        <v>67</v>
      </c>
      <c r="I6" s="4">
        <f>(1233.00*4.5)+(0.00*9)</f>
      </c>
      <c r="J6" s="4">
        <f>510.00+1080.00</f>
      </c>
      <c r="K6" s="4">
        <v>3100</v>
      </c>
      <c r="L6" s="4">
        <v>0</v>
      </c>
      <c r="M6" s="4">
        <v>0</v>
      </c>
      <c r="N6" s="4">
        <v>5997</v>
      </c>
      <c r="O6" s="4">
        <v>0</v>
      </c>
      <c r="P6" s="4">
        <v>0</v>
      </c>
      <c r="Q6" s="4">
        <v>0</v>
      </c>
      <c r="R6" s="5">
        <f>SUM(I6:Q6)</f>
      </c>
      <c r="S6" s="6">
        <v>0</v>
      </c>
      <c r="T6" s="7">
        <f>R6-S6</f>
      </c>
      <c r="U6" s="3" t="s">
        <v>37</v>
      </c>
      <c r="V6" s="3" t="s">
        <v>38</v>
      </c>
      <c r="W6" s="3" t="s">
        <v>68</v>
      </c>
      <c r="X6" s="3" t="s">
        <v>40</v>
      </c>
      <c r="Y6" s="3" t="s">
        <v>41</v>
      </c>
      <c r="Z6" s="3" t="s">
        <v>37</v>
      </c>
      <c r="AA6" s="3" t="s">
        <v>69</v>
      </c>
      <c r="AB6" s="3" t="s">
        <v>43</v>
      </c>
      <c r="AC6" s="4">
        <v>16948</v>
      </c>
      <c r="AD6" s="8">
        <f>AC6-R6</f>
      </c>
    </row>
    <row r="7" ht="20" customHeight="1" spans="1:30" x14ac:dyDescent="0.25">
      <c r="A7" s="2">
        <v>6</v>
      </c>
      <c r="B7" s="3" t="s">
        <v>30</v>
      </c>
      <c r="C7" s="3" t="s">
        <v>31</v>
      </c>
      <c r="D7" s="2" t="s">
        <v>70</v>
      </c>
      <c r="E7" s="2" t="s">
        <v>66</v>
      </c>
      <c r="F7" s="3" t="s">
        <v>71</v>
      </c>
      <c r="G7" s="3" t="s">
        <v>54</v>
      </c>
      <c r="H7" s="3" t="s">
        <v>72</v>
      </c>
      <c r="I7" s="4">
        <f>(927.00*4.5)+(0.00*9)</f>
      </c>
      <c r="J7" s="4">
        <f>240.00+0.00</f>
      </c>
      <c r="K7" s="4">
        <v>5800</v>
      </c>
      <c r="L7" s="4">
        <v>3750</v>
      </c>
      <c r="M7" s="4">
        <v>0</v>
      </c>
      <c r="N7" s="4">
        <v>2900</v>
      </c>
      <c r="O7" s="4">
        <v>150</v>
      </c>
      <c r="P7" s="4">
        <v>299</v>
      </c>
      <c r="Q7" s="4">
        <v>0</v>
      </c>
      <c r="R7" s="5">
        <f>SUM(I7:Q7)</f>
      </c>
      <c r="S7" s="6">
        <v>0</v>
      </c>
      <c r="T7" s="7">
        <f>R7-S7</f>
      </c>
      <c r="U7" s="3" t="s">
        <v>37</v>
      </c>
      <c r="V7" s="3" t="s">
        <v>38</v>
      </c>
      <c r="W7" s="3" t="s">
        <v>73</v>
      </c>
      <c r="X7" s="3" t="s">
        <v>40</v>
      </c>
      <c r="Y7" s="3" t="s">
        <v>41</v>
      </c>
      <c r="Z7" s="3" t="s">
        <v>37</v>
      </c>
      <c r="AA7" s="3" t="s">
        <v>74</v>
      </c>
      <c r="AB7" s="3" t="s">
        <v>43</v>
      </c>
      <c r="AC7" s="4">
        <v>19250</v>
      </c>
      <c r="AD7" s="8">
        <f>AC7-R7</f>
      </c>
    </row>
    <row r="8" ht="20" customHeight="1" spans="1:30" x14ac:dyDescent="0.25">
      <c r="A8" s="2">
        <v>7</v>
      </c>
      <c r="B8" s="3" t="s">
        <v>30</v>
      </c>
      <c r="C8" s="3" t="s">
        <v>31</v>
      </c>
      <c r="D8" s="2" t="s">
        <v>75</v>
      </c>
      <c r="E8" s="2" t="s">
        <v>33</v>
      </c>
      <c r="F8" s="3" t="s">
        <v>76</v>
      </c>
      <c r="G8" s="3" t="s">
        <v>54</v>
      </c>
      <c r="H8" s="3" t="s">
        <v>77</v>
      </c>
      <c r="I8" s="4">
        <f>(1788.00*4.5)+(0.00*9)</f>
      </c>
      <c r="J8" s="4">
        <f>40.00+860.00</f>
      </c>
      <c r="K8" s="4">
        <v>2600</v>
      </c>
      <c r="L8" s="4">
        <v>0</v>
      </c>
      <c r="M8" s="4">
        <v>0</v>
      </c>
      <c r="N8" s="4">
        <v>1900</v>
      </c>
      <c r="O8" s="4">
        <v>0</v>
      </c>
      <c r="P8" s="4">
        <v>0</v>
      </c>
      <c r="Q8" s="4">
        <v>0</v>
      </c>
      <c r="R8" s="5">
        <f>SUM(I8:Q8)</f>
      </c>
      <c r="S8" s="6">
        <v>0</v>
      </c>
      <c r="T8" s="7">
        <f>R8-S8</f>
      </c>
      <c r="U8" s="3" t="s">
        <v>37</v>
      </c>
      <c r="V8" s="3" t="s">
        <v>38</v>
      </c>
      <c r="W8" s="3" t="s">
        <v>78</v>
      </c>
      <c r="X8" s="3" t="s">
        <v>40</v>
      </c>
      <c r="Y8" s="3" t="s">
        <v>41</v>
      </c>
      <c r="Z8" s="3" t="s">
        <v>37</v>
      </c>
      <c r="AA8" s="3" t="s">
        <v>79</v>
      </c>
      <c r="AB8" s="3" t="s">
        <v>43</v>
      </c>
      <c r="AC8" s="4">
        <v>14136</v>
      </c>
      <c r="AD8" s="8">
        <f>AC8-R8</f>
      </c>
    </row>
    <row r="9" ht="20" customHeight="1" spans="1:30" x14ac:dyDescent="0.25">
      <c r="A9" s="2">
        <v>8</v>
      </c>
      <c r="B9" s="3" t="s">
        <v>30</v>
      </c>
      <c r="C9" s="3" t="s">
        <v>31</v>
      </c>
      <c r="D9" s="2" t="s">
        <v>80</v>
      </c>
      <c r="E9" s="2" t="s">
        <v>33</v>
      </c>
      <c r="F9" s="3" t="s">
        <v>81</v>
      </c>
      <c r="G9" s="3" t="s">
        <v>61</v>
      </c>
      <c r="H9" s="3" t="s">
        <v>82</v>
      </c>
      <c r="I9" s="4">
        <f>(2615.00*4.5)+(0.00*9)</f>
      </c>
      <c r="J9" s="4">
        <f>0.00+0.00</f>
      </c>
      <c r="K9" s="4">
        <v>3000</v>
      </c>
      <c r="L9" s="4">
        <v>290</v>
      </c>
      <c r="M9" s="4">
        <v>1430</v>
      </c>
      <c r="N9" s="4">
        <v>0</v>
      </c>
      <c r="O9" s="4">
        <v>0</v>
      </c>
      <c r="P9" s="4">
        <v>0</v>
      </c>
      <c r="Q9" s="4">
        <v>0</v>
      </c>
      <c r="R9" s="5">
        <f>SUM(I9:Q9)</f>
      </c>
      <c r="S9" s="6">
        <v>0</v>
      </c>
      <c r="T9" s="7">
        <f>R9-S9</f>
      </c>
      <c r="U9" s="3" t="s">
        <v>37</v>
      </c>
      <c r="V9" s="3" t="s">
        <v>38</v>
      </c>
      <c r="W9" s="3" t="s">
        <v>83</v>
      </c>
      <c r="X9" s="3" t="s">
        <v>40</v>
      </c>
      <c r="Y9" s="3" t="s">
        <v>41</v>
      </c>
      <c r="Z9" s="3" t="s">
        <v>37</v>
      </c>
      <c r="AA9" s="3" t="s">
        <v>84</v>
      </c>
      <c r="AB9" s="3" t="s">
        <v>43</v>
      </c>
      <c r="AC9" s="4">
        <v>16208.5</v>
      </c>
      <c r="AD9" s="8">
        <f>AC9-R9</f>
      </c>
    </row>
    <row r="10" ht="20" customHeight="1" spans="1:30" x14ac:dyDescent="0.25">
      <c r="A10" s="2">
        <v>9</v>
      </c>
      <c r="B10" s="3" t="s">
        <v>30</v>
      </c>
      <c r="C10" s="3" t="s">
        <v>31</v>
      </c>
      <c r="D10" s="2" t="s">
        <v>85</v>
      </c>
      <c r="E10" s="2" t="s">
        <v>45</v>
      </c>
      <c r="F10" s="3" t="s">
        <v>46</v>
      </c>
      <c r="G10" s="3" t="s">
        <v>47</v>
      </c>
      <c r="H10" s="3" t="s">
        <v>86</v>
      </c>
      <c r="I10" s="4">
        <f>(654.00*4.5)+(0.00*9)</f>
      </c>
      <c r="J10" s="4">
        <f>1000.00+2743.00</f>
      </c>
      <c r="K10" s="4">
        <v>1400</v>
      </c>
      <c r="L10" s="4">
        <v>0</v>
      </c>
      <c r="M10" s="4">
        <v>0</v>
      </c>
      <c r="N10" s="4">
        <v>0</v>
      </c>
      <c r="O10" s="4">
        <v>0</v>
      </c>
      <c r="P10" s="4">
        <v>2078</v>
      </c>
      <c r="Q10" s="4">
        <v>0</v>
      </c>
      <c r="R10" s="5">
        <f>SUM(I10:Q10)</f>
      </c>
      <c r="S10" s="6">
        <v>0</v>
      </c>
      <c r="T10" s="7">
        <f>R10-S10</f>
      </c>
      <c r="U10" s="3" t="s">
        <v>37</v>
      </c>
      <c r="V10" s="3" t="s">
        <v>38</v>
      </c>
      <c r="W10" s="3" t="s">
        <v>87</v>
      </c>
      <c r="X10" s="3" t="s">
        <v>40</v>
      </c>
      <c r="Y10" s="3" t="s">
        <v>41</v>
      </c>
      <c r="Z10" s="3" t="s">
        <v>37</v>
      </c>
      <c r="AA10" s="3" t="s">
        <v>50</v>
      </c>
      <c r="AB10" s="3" t="s">
        <v>43</v>
      </c>
      <c r="AC10" s="4">
        <v>12703</v>
      </c>
      <c r="AD10" s="8">
        <f>AC10-R10</f>
      </c>
    </row>
    <row r="11" ht="20" customHeight="1" spans="1:30" x14ac:dyDescent="0.25">
      <c r="A11" s="2">
        <v>10</v>
      </c>
      <c r="B11" s="3" t="s">
        <v>30</v>
      </c>
      <c r="C11" s="3" t="s">
        <v>31</v>
      </c>
      <c r="D11" s="2" t="s">
        <v>88</v>
      </c>
      <c r="E11" s="2" t="s">
        <v>52</v>
      </c>
      <c r="F11" s="3" t="s">
        <v>53</v>
      </c>
      <c r="G11" s="3" t="s">
        <v>61</v>
      </c>
      <c r="H11" s="3" t="s">
        <v>89</v>
      </c>
      <c r="I11" s="4">
        <f>(224.00*4.5)+(0.00*9)</f>
      </c>
      <c r="J11" s="4">
        <f>0.00+0.00</f>
      </c>
      <c r="K11" s="4">
        <v>450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5">
        <f>SUM(I11:Q11)</f>
      </c>
      <c r="S11" s="6">
        <v>0</v>
      </c>
      <c r="T11" s="7">
        <f>R11-S11</f>
      </c>
      <c r="U11" s="3" t="s">
        <v>37</v>
      </c>
      <c r="V11" s="3" t="s">
        <v>38</v>
      </c>
      <c r="W11" s="3" t="s">
        <v>90</v>
      </c>
      <c r="X11" s="3" t="s">
        <v>40</v>
      </c>
      <c r="Y11" s="3" t="s">
        <v>41</v>
      </c>
      <c r="Z11" s="3" t="s">
        <v>37</v>
      </c>
      <c r="AA11" s="3" t="s">
        <v>91</v>
      </c>
      <c r="AB11" s="3" t="s">
        <v>43</v>
      </c>
      <c r="AC11" s="4">
        <v>1458</v>
      </c>
      <c r="AD11" s="8">
        <f>AC11-R11</f>
      </c>
    </row>
    <row r="12" ht="20" customHeight="1" spans="1:30" x14ac:dyDescent="0.25">
      <c r="A12" s="2">
        <v>11</v>
      </c>
      <c r="B12" s="3" t="s">
        <v>30</v>
      </c>
      <c r="C12" s="3" t="s">
        <v>31</v>
      </c>
      <c r="D12" s="2" t="s">
        <v>92</v>
      </c>
      <c r="E12" s="2" t="s">
        <v>66</v>
      </c>
      <c r="F12" s="3" t="s">
        <v>93</v>
      </c>
      <c r="G12" s="3" t="s">
        <v>61</v>
      </c>
      <c r="H12" s="3" t="s">
        <v>94</v>
      </c>
      <c r="I12" s="4">
        <f>(883.00*4.5)+(0.00*9)</f>
      </c>
      <c r="J12" s="4">
        <f>510.00+1374.00</f>
      </c>
      <c r="K12" s="4">
        <v>4800</v>
      </c>
      <c r="L12" s="4">
        <v>0</v>
      </c>
      <c r="M12" s="4">
        <v>0</v>
      </c>
      <c r="N12" s="4">
        <v>4980</v>
      </c>
      <c r="O12" s="4">
        <v>0</v>
      </c>
      <c r="P12" s="4">
        <v>550</v>
      </c>
      <c r="Q12" s="4">
        <v>0</v>
      </c>
      <c r="R12" s="5">
        <f>SUM(I12:Q12)</f>
      </c>
      <c r="S12" s="6">
        <v>0</v>
      </c>
      <c r="T12" s="7">
        <f>R12-S12</f>
      </c>
      <c r="U12" s="3" t="s">
        <v>37</v>
      </c>
      <c r="V12" s="3" t="s">
        <v>38</v>
      </c>
      <c r="W12" s="3" t="s">
        <v>95</v>
      </c>
      <c r="X12" s="3" t="s">
        <v>40</v>
      </c>
      <c r="Y12" s="3" t="s">
        <v>41</v>
      </c>
      <c r="Z12" s="3" t="s">
        <v>37</v>
      </c>
      <c r="AA12" s="3" t="s">
        <v>96</v>
      </c>
      <c r="AB12" s="3" t="s">
        <v>43</v>
      </c>
      <c r="AC12" s="4">
        <v>15387.5</v>
      </c>
      <c r="AD12" s="8">
        <f>AC12-R12</f>
      </c>
    </row>
    <row r="13" ht="20" customHeight="1" spans="1:30" x14ac:dyDescent="0.25">
      <c r="A13" s="2">
        <v>12</v>
      </c>
      <c r="B13" s="3" t="s">
        <v>30</v>
      </c>
      <c r="C13" s="3" t="s">
        <v>31</v>
      </c>
      <c r="D13" s="2" t="s">
        <v>97</v>
      </c>
      <c r="E13" s="2" t="s">
        <v>45</v>
      </c>
      <c r="F13" s="3" t="s">
        <v>98</v>
      </c>
      <c r="G13" s="3" t="s">
        <v>47</v>
      </c>
      <c r="H13" s="3" t="s">
        <v>99</v>
      </c>
      <c r="I13" s="4">
        <f>(0.00*4.5)+(0.00*9)</f>
      </c>
      <c r="J13" s="4">
        <f>300.00+544.00</f>
      </c>
      <c r="K13" s="4">
        <v>3950</v>
      </c>
      <c r="L13" s="4">
        <v>0</v>
      </c>
      <c r="M13" s="4">
        <v>0</v>
      </c>
      <c r="N13" s="4">
        <v>5250</v>
      </c>
      <c r="O13" s="4">
        <v>0</v>
      </c>
      <c r="P13" s="4">
        <v>0</v>
      </c>
      <c r="Q13" s="4">
        <v>0</v>
      </c>
      <c r="R13" s="5">
        <f>SUM(I13:Q13)</f>
      </c>
      <c r="S13" s="6">
        <v>0</v>
      </c>
      <c r="T13" s="7">
        <f>R13-S13</f>
      </c>
      <c r="U13" s="3" t="s">
        <v>37</v>
      </c>
      <c r="V13" s="3" t="s">
        <v>38</v>
      </c>
      <c r="W13" s="3" t="s">
        <v>100</v>
      </c>
      <c r="X13" s="3" t="s">
        <v>40</v>
      </c>
      <c r="Y13" s="3" t="s">
        <v>41</v>
      </c>
      <c r="Z13" s="3" t="s">
        <v>37</v>
      </c>
      <c r="AA13" s="3" t="s">
        <v>50</v>
      </c>
      <c r="AB13" s="3" t="s">
        <v>43</v>
      </c>
      <c r="AC13" s="4">
        <v>10044</v>
      </c>
      <c r="AD13" s="8">
        <f>AC13-R13</f>
      </c>
    </row>
    <row r="14" ht="20" customHeight="1" spans="1:30" x14ac:dyDescent="0.25">
      <c r="A14" s="2">
        <v>13</v>
      </c>
      <c r="B14" s="3" t="s">
        <v>30</v>
      </c>
      <c r="C14" s="3" t="s">
        <v>31</v>
      </c>
      <c r="D14" s="2" t="s">
        <v>101</v>
      </c>
      <c r="E14" s="2" t="s">
        <v>45</v>
      </c>
      <c r="F14" s="3" t="s">
        <v>102</v>
      </c>
      <c r="G14" s="3" t="s">
        <v>61</v>
      </c>
      <c r="H14" s="3" t="s">
        <v>103</v>
      </c>
      <c r="I14" s="4">
        <f>(1533.00*4.5)+(0.00*9)</f>
      </c>
      <c r="J14" s="4">
        <f>620.00+1100.00</f>
      </c>
      <c r="K14" s="4">
        <v>3850</v>
      </c>
      <c r="L14" s="4">
        <v>0</v>
      </c>
      <c r="M14" s="4">
        <v>0</v>
      </c>
      <c r="N14" s="4">
        <v>0</v>
      </c>
      <c r="O14" s="4">
        <v>0</v>
      </c>
      <c r="P14" s="4">
        <v>200</v>
      </c>
      <c r="Q14" s="4">
        <v>0</v>
      </c>
      <c r="R14" s="5">
        <f>SUM(I14:Q14)</f>
      </c>
      <c r="S14" s="6">
        <v>0</v>
      </c>
      <c r="T14" s="7">
        <f>R14-S14</f>
      </c>
      <c r="U14" s="3" t="s">
        <v>37</v>
      </c>
      <c r="V14" s="3" t="s">
        <v>38</v>
      </c>
      <c r="W14" s="3" t="s">
        <v>104</v>
      </c>
      <c r="X14" s="3" t="s">
        <v>40</v>
      </c>
      <c r="Y14" s="3" t="s">
        <v>41</v>
      </c>
      <c r="Z14" s="3" t="s">
        <v>37</v>
      </c>
      <c r="AA14" s="3" t="s">
        <v>96</v>
      </c>
      <c r="AB14" s="3" t="s">
        <v>43</v>
      </c>
      <c r="AC14" s="4">
        <v>13708.5</v>
      </c>
      <c r="AD14" s="8">
        <f>AC14-R14</f>
      </c>
    </row>
    <row r="15" ht="20" customHeight="1" spans="1:30" x14ac:dyDescent="0.25">
      <c r="A15" s="2">
        <v>14</v>
      </c>
      <c r="B15" s="3" t="s">
        <v>30</v>
      </c>
      <c r="C15" s="3" t="s">
        <v>31</v>
      </c>
      <c r="D15" s="2" t="s">
        <v>105</v>
      </c>
      <c r="E15" s="2" t="s">
        <v>52</v>
      </c>
      <c r="F15" s="3" t="s">
        <v>53</v>
      </c>
      <c r="G15" s="3" t="s">
        <v>54</v>
      </c>
      <c r="H15" s="3" t="s">
        <v>106</v>
      </c>
      <c r="I15" s="4">
        <f>(1980.00*4.5)+(0.00*9)</f>
      </c>
      <c r="J15" s="4">
        <f>780.00+2080.00</f>
      </c>
      <c r="K15" s="4">
        <v>4000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5">
        <f>SUM(I15:Q15)</f>
      </c>
      <c r="S15" s="6">
        <v>0</v>
      </c>
      <c r="T15" s="7">
        <f>R15-S15</f>
      </c>
      <c r="U15" s="3" t="s">
        <v>37</v>
      </c>
      <c r="V15" s="3" t="s">
        <v>38</v>
      </c>
      <c r="W15" s="3" t="s">
        <v>37</v>
      </c>
      <c r="X15" s="3" t="s">
        <v>40</v>
      </c>
      <c r="Y15" s="3" t="s">
        <v>41</v>
      </c>
      <c r="Z15" s="3" t="s">
        <v>37</v>
      </c>
      <c r="AA15" s="3" t="s">
        <v>57</v>
      </c>
      <c r="AB15" s="3" t="s">
        <v>43</v>
      </c>
      <c r="AC15" s="4">
        <v>16010</v>
      </c>
      <c r="AD15" s="8">
        <f>AC15-R15</f>
      </c>
    </row>
    <row r="16" ht="20" customHeight="1" spans="1:30" x14ac:dyDescent="0.25">
      <c r="A16" s="2">
        <v>15</v>
      </c>
      <c r="B16" s="3" t="s">
        <v>30</v>
      </c>
      <c r="C16" s="3" t="s">
        <v>31</v>
      </c>
      <c r="D16" s="2" t="s">
        <v>107</v>
      </c>
      <c r="E16" s="2" t="s">
        <v>33</v>
      </c>
      <c r="F16" s="3" t="s">
        <v>34</v>
      </c>
      <c r="G16" s="3" t="s">
        <v>47</v>
      </c>
      <c r="H16" s="3" t="s">
        <v>108</v>
      </c>
      <c r="I16" s="4">
        <f>(859.00*4.5)+(0.00*9)</f>
      </c>
      <c r="J16" s="4">
        <f>1680.00+8154.00</f>
      </c>
      <c r="K16" s="4">
        <v>4900</v>
      </c>
      <c r="L16" s="4">
        <v>0</v>
      </c>
      <c r="M16" s="4">
        <v>0</v>
      </c>
      <c r="N16" s="4">
        <v>7200</v>
      </c>
      <c r="O16" s="4">
        <v>0</v>
      </c>
      <c r="P16" s="4">
        <v>0</v>
      </c>
      <c r="Q16" s="4">
        <v>0</v>
      </c>
      <c r="R16" s="5">
        <f>SUM(I16:Q16)</f>
      </c>
      <c r="S16" s="6">
        <v>0</v>
      </c>
      <c r="T16" s="7">
        <f>R16-S16</f>
      </c>
      <c r="U16" s="3" t="s">
        <v>37</v>
      </c>
      <c r="V16" s="3" t="s">
        <v>38</v>
      </c>
      <c r="W16" s="3" t="s">
        <v>109</v>
      </c>
      <c r="X16" s="3" t="s">
        <v>40</v>
      </c>
      <c r="Y16" s="3" t="s">
        <v>41</v>
      </c>
      <c r="Z16" s="3" t="s">
        <v>37</v>
      </c>
      <c r="AA16" s="3" t="s">
        <v>86</v>
      </c>
      <c r="AB16" s="3" t="s">
        <v>43</v>
      </c>
      <c r="AC16" s="4">
        <v>26631</v>
      </c>
      <c r="AD16" s="8">
        <f>AC16-R16</f>
      </c>
    </row>
    <row r="17" ht="20" customHeight="1" spans="1:30" x14ac:dyDescent="0.25">
      <c r="A17" s="2">
        <v>16</v>
      </c>
      <c r="B17" s="3" t="s">
        <v>30</v>
      </c>
      <c r="C17" s="3" t="s">
        <v>31</v>
      </c>
      <c r="D17" s="2" t="s">
        <v>110</v>
      </c>
      <c r="E17" s="2" t="s">
        <v>45</v>
      </c>
      <c r="F17" s="3" t="s">
        <v>111</v>
      </c>
      <c r="G17" s="3" t="s">
        <v>54</v>
      </c>
      <c r="H17" s="3" t="s">
        <v>112</v>
      </c>
      <c r="I17" s="4">
        <f>(1294.00*4.5)+(0.00*9)</f>
      </c>
      <c r="J17" s="4">
        <f>0.00+0.00</f>
      </c>
      <c r="K17" s="4">
        <v>5850</v>
      </c>
      <c r="L17" s="4">
        <v>3200</v>
      </c>
      <c r="M17" s="4">
        <v>40</v>
      </c>
      <c r="N17" s="4">
        <v>3996</v>
      </c>
      <c r="O17" s="4">
        <v>0</v>
      </c>
      <c r="P17" s="4">
        <v>0</v>
      </c>
      <c r="Q17" s="4">
        <v>0</v>
      </c>
      <c r="R17" s="5">
        <f>SUM(I17:Q17)</f>
      </c>
      <c r="S17" s="6">
        <v>0</v>
      </c>
      <c r="T17" s="7">
        <f>R17-S17</f>
      </c>
      <c r="U17" s="3" t="s">
        <v>37</v>
      </c>
      <c r="V17" s="3" t="s">
        <v>38</v>
      </c>
      <c r="W17" s="3" t="s">
        <v>113</v>
      </c>
      <c r="X17" s="3" t="s">
        <v>40</v>
      </c>
      <c r="Y17" s="3" t="s">
        <v>41</v>
      </c>
      <c r="Z17" s="3" t="s">
        <v>37</v>
      </c>
      <c r="AA17" s="3" t="s">
        <v>74</v>
      </c>
      <c r="AB17" s="3" t="s">
        <v>43</v>
      </c>
      <c r="AC17" s="4">
        <v>20239.5</v>
      </c>
      <c r="AD17" s="8">
        <f>AC17-R17</f>
      </c>
    </row>
    <row r="18" ht="20" customHeight="1" spans="1:30" x14ac:dyDescent="0.25">
      <c r="A18" s="2">
        <v>17</v>
      </c>
      <c r="B18" s="3" t="s">
        <v>30</v>
      </c>
      <c r="C18" s="3" t="s">
        <v>31</v>
      </c>
      <c r="D18" s="2" t="s">
        <v>114</v>
      </c>
      <c r="E18" s="2" t="s">
        <v>66</v>
      </c>
      <c r="F18" s="3" t="s">
        <v>115</v>
      </c>
      <c r="G18" s="3" t="s">
        <v>61</v>
      </c>
      <c r="H18" s="3" t="s">
        <v>116</v>
      </c>
      <c r="I18" s="4">
        <f>(360.00*4.5)+(0.00*9)</f>
      </c>
      <c r="J18" s="4">
        <f>1150.00+4332.00</f>
      </c>
      <c r="K18" s="4">
        <v>4700</v>
      </c>
      <c r="L18" s="4">
        <v>0</v>
      </c>
      <c r="M18" s="4">
        <v>0</v>
      </c>
      <c r="N18" s="4">
        <v>8943</v>
      </c>
      <c r="O18" s="4">
        <v>0</v>
      </c>
      <c r="P18" s="4">
        <v>0</v>
      </c>
      <c r="Q18" s="4">
        <v>0</v>
      </c>
      <c r="R18" s="5">
        <f>SUM(I18:Q18)</f>
      </c>
      <c r="S18" s="6">
        <v>0</v>
      </c>
      <c r="T18" s="7">
        <f>R18-S18</f>
      </c>
      <c r="U18" s="3" t="s">
        <v>37</v>
      </c>
      <c r="V18" s="3" t="s">
        <v>38</v>
      </c>
      <c r="W18" s="3" t="s">
        <v>117</v>
      </c>
      <c r="X18" s="3" t="s">
        <v>40</v>
      </c>
      <c r="Y18" s="3" t="s">
        <v>41</v>
      </c>
      <c r="Z18" s="3" t="s">
        <v>37</v>
      </c>
      <c r="AA18" s="3" t="s">
        <v>69</v>
      </c>
      <c r="AB18" s="3" t="s">
        <v>43</v>
      </c>
      <c r="AC18" s="4">
        <v>20525</v>
      </c>
      <c r="AD18" s="8">
        <f>AC18-R18</f>
      </c>
    </row>
    <row r="19" ht="20" customHeight="1" spans="1:30" x14ac:dyDescent="0.25">
      <c r="A19" s="2">
        <v>18</v>
      </c>
      <c r="B19" s="3" t="s">
        <v>30</v>
      </c>
      <c r="C19" s="3" t="s">
        <v>31</v>
      </c>
      <c r="D19" s="2" t="s">
        <v>118</v>
      </c>
      <c r="E19" s="2" t="s">
        <v>52</v>
      </c>
      <c r="F19" s="3" t="s">
        <v>119</v>
      </c>
      <c r="G19" s="3" t="s">
        <v>61</v>
      </c>
      <c r="H19" s="3" t="s">
        <v>120</v>
      </c>
      <c r="I19" s="4">
        <f>(670.00*4.5)+(0.00*9)</f>
      </c>
      <c r="J19" s="4">
        <f>360.00+1050.00</f>
      </c>
      <c r="K19" s="4">
        <v>3300</v>
      </c>
      <c r="L19" s="4">
        <v>80</v>
      </c>
      <c r="M19" s="4">
        <v>1800</v>
      </c>
      <c r="N19" s="4">
        <v>4650</v>
      </c>
      <c r="O19" s="4">
        <v>0</v>
      </c>
      <c r="P19" s="4">
        <v>0</v>
      </c>
      <c r="Q19" s="4">
        <v>0</v>
      </c>
      <c r="R19" s="5">
        <f>SUM(I19:Q19)</f>
      </c>
      <c r="S19" s="6">
        <v>0</v>
      </c>
      <c r="T19" s="7">
        <f>R19-S19</f>
      </c>
      <c r="U19" s="3" t="s">
        <v>37</v>
      </c>
      <c r="V19" s="3" t="s">
        <v>38</v>
      </c>
      <c r="W19" s="3" t="s">
        <v>121</v>
      </c>
      <c r="X19" s="3" t="s">
        <v>40</v>
      </c>
      <c r="Y19" s="3" t="s">
        <v>41</v>
      </c>
      <c r="Z19" s="3" t="s">
        <v>37</v>
      </c>
      <c r="AA19" s="3" t="s">
        <v>84</v>
      </c>
      <c r="AB19" s="3" t="s">
        <v>43</v>
      </c>
      <c r="AC19" s="4">
        <v>12755</v>
      </c>
      <c r="AD19" s="8">
        <f>AC19-R19</f>
      </c>
    </row>
    <row r="20" ht="20" customHeight="1" spans="1:30" x14ac:dyDescent="0.25">
      <c r="A20" s="2">
        <v>19</v>
      </c>
      <c r="B20" s="3" t="s">
        <v>30</v>
      </c>
      <c r="C20" s="3" t="s">
        <v>31</v>
      </c>
      <c r="D20" s="2" t="s">
        <v>122</v>
      </c>
      <c r="E20" s="2" t="s">
        <v>33</v>
      </c>
      <c r="F20" s="3" t="s">
        <v>119</v>
      </c>
      <c r="G20" s="3" t="s">
        <v>47</v>
      </c>
      <c r="H20" s="3" t="s">
        <v>123</v>
      </c>
      <c r="I20" s="4">
        <f>(2184.00*4.5)+(0.00*9)</f>
      </c>
      <c r="J20" s="4">
        <f>180.00+1098.00</f>
      </c>
      <c r="K20" s="4">
        <v>3650</v>
      </c>
      <c r="L20" s="4">
        <v>100</v>
      </c>
      <c r="M20" s="4">
        <v>0</v>
      </c>
      <c r="N20" s="4">
        <v>0</v>
      </c>
      <c r="O20" s="4">
        <v>0</v>
      </c>
      <c r="P20" s="4">
        <v>400</v>
      </c>
      <c r="Q20" s="4">
        <v>0</v>
      </c>
      <c r="R20" s="5">
        <f>SUM(I20:Q20)</f>
      </c>
      <c r="S20" s="6">
        <v>0</v>
      </c>
      <c r="T20" s="7">
        <f>R20-S20</f>
      </c>
      <c r="U20" s="3" t="s">
        <v>37</v>
      </c>
      <c r="V20" s="3" t="s">
        <v>38</v>
      </c>
      <c r="W20" s="3" t="s">
        <v>124</v>
      </c>
      <c r="X20" s="3" t="s">
        <v>40</v>
      </c>
      <c r="Y20" s="3" t="s">
        <v>41</v>
      </c>
      <c r="Z20" s="3" t="s">
        <v>37</v>
      </c>
      <c r="AA20" s="3" t="s">
        <v>86</v>
      </c>
      <c r="AB20" s="3" t="s">
        <v>43</v>
      </c>
      <c r="AC20" s="4">
        <v>15256</v>
      </c>
      <c r="AD20" s="8">
        <f>AC20-R20</f>
      </c>
    </row>
    <row r="21" ht="20" customHeight="1" spans="1:30" x14ac:dyDescent="0.25">
      <c r="A21" s="2">
        <v>20</v>
      </c>
      <c r="B21" s="3" t="s">
        <v>30</v>
      </c>
      <c r="C21" s="3" t="s">
        <v>31</v>
      </c>
      <c r="D21" s="2" t="s">
        <v>125</v>
      </c>
      <c r="E21" s="2" t="s">
        <v>52</v>
      </c>
      <c r="F21" s="3" t="s">
        <v>53</v>
      </c>
      <c r="G21" s="3" t="s">
        <v>35</v>
      </c>
      <c r="H21" s="3" t="s">
        <v>126</v>
      </c>
      <c r="I21" s="4">
        <f>(996.00*4.5)+(0.00*9)</f>
      </c>
      <c r="J21" s="4">
        <f>0.00+0.00</f>
      </c>
      <c r="K21" s="4">
        <v>2400</v>
      </c>
      <c r="L21" s="4">
        <v>140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5">
        <f>SUM(I21:Q21)</f>
      </c>
      <c r="S21" s="6">
        <v>0</v>
      </c>
      <c r="T21" s="7">
        <f>R21-S21</f>
      </c>
      <c r="U21" s="3" t="s">
        <v>37</v>
      </c>
      <c r="V21" s="3" t="s">
        <v>38</v>
      </c>
      <c r="W21" s="3" t="s">
        <v>127</v>
      </c>
      <c r="X21" s="3" t="s">
        <v>40</v>
      </c>
      <c r="Y21" s="3" t="s">
        <v>41</v>
      </c>
      <c r="Z21" s="3" t="s">
        <v>37</v>
      </c>
      <c r="AA21" s="3" t="s">
        <v>128</v>
      </c>
      <c r="AB21" s="3" t="s">
        <v>43</v>
      </c>
      <c r="AC21" s="4">
        <v>7121</v>
      </c>
      <c r="AD21" s="8">
        <f>AC21-R21</f>
      </c>
    </row>
    <row r="22" ht="20" customHeight="1" spans="1:30" x14ac:dyDescent="0.25">
      <c r="A22" s="2">
        <v>21</v>
      </c>
      <c r="B22" s="3" t="s">
        <v>30</v>
      </c>
      <c r="C22" s="3" t="s">
        <v>31</v>
      </c>
      <c r="D22" s="2" t="s">
        <v>129</v>
      </c>
      <c r="E22" s="2" t="s">
        <v>33</v>
      </c>
      <c r="F22" s="3" t="s">
        <v>119</v>
      </c>
      <c r="G22" s="3" t="s">
        <v>54</v>
      </c>
      <c r="H22" s="3" t="s">
        <v>130</v>
      </c>
      <c r="I22" s="4">
        <f>(2675.00*4.5)+(0.00*9)</f>
      </c>
      <c r="J22" s="4">
        <f>930.00+1880.00</f>
      </c>
      <c r="K22" s="4">
        <v>4450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5">
        <f>SUM(I22:Q22)</f>
      </c>
      <c r="S22" s="6">
        <v>0</v>
      </c>
      <c r="T22" s="7">
        <f>R22-S22</f>
      </c>
      <c r="U22" s="3" t="s">
        <v>37</v>
      </c>
      <c r="V22" s="3" t="s">
        <v>38</v>
      </c>
      <c r="W22" s="3" t="s">
        <v>131</v>
      </c>
      <c r="X22" s="3" t="s">
        <v>40</v>
      </c>
      <c r="Y22" s="3" t="s">
        <v>41</v>
      </c>
      <c r="Z22" s="3" t="s">
        <v>37</v>
      </c>
      <c r="AA22" s="3" t="s">
        <v>57</v>
      </c>
      <c r="AB22" s="3" t="s">
        <v>43</v>
      </c>
      <c r="AC22" s="4">
        <v>19347.5</v>
      </c>
      <c r="AD22" s="8">
        <f>AC22-R22</f>
      </c>
    </row>
    <row r="23" ht="20" customHeight="1" spans="1:30" x14ac:dyDescent="0.25">
      <c r="A23" s="2">
        <v>22</v>
      </c>
      <c r="B23" s="3" t="s">
        <v>30</v>
      </c>
      <c r="C23" s="3" t="s">
        <v>31</v>
      </c>
      <c r="D23" s="2" t="s">
        <v>132</v>
      </c>
      <c r="E23" s="2" t="s">
        <v>45</v>
      </c>
      <c r="F23" s="3" t="s">
        <v>46</v>
      </c>
      <c r="G23" s="3" t="s">
        <v>54</v>
      </c>
      <c r="H23" s="3" t="s">
        <v>133</v>
      </c>
      <c r="I23" s="4">
        <f>(1870.00*4.5)+(0.00*9)</f>
      </c>
      <c r="J23" s="4">
        <f>200.00+1500.00</f>
      </c>
      <c r="K23" s="4">
        <v>4650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5">
        <f>SUM(I23:Q23)</f>
      </c>
      <c r="S23" s="6">
        <v>0</v>
      </c>
      <c r="T23" s="7">
        <f>R23-S23</f>
      </c>
      <c r="U23" s="3" t="s">
        <v>37</v>
      </c>
      <c r="V23" s="3" t="s">
        <v>38</v>
      </c>
      <c r="W23" s="3" t="s">
        <v>134</v>
      </c>
      <c r="X23" s="3" t="s">
        <v>40</v>
      </c>
      <c r="Y23" s="3" t="s">
        <v>41</v>
      </c>
      <c r="Z23" s="3" t="s">
        <v>37</v>
      </c>
      <c r="AA23" s="3" t="s">
        <v>74</v>
      </c>
      <c r="AB23" s="3" t="s">
        <v>43</v>
      </c>
      <c r="AC23" s="4">
        <v>15483</v>
      </c>
      <c r="AD23" s="8">
        <f>AC23-R23</f>
      </c>
    </row>
    <row r="24" ht="20" customHeight="1" spans="1:30" x14ac:dyDescent="0.25">
      <c r="A24" s="2">
        <v>23</v>
      </c>
      <c r="B24" s="3" t="s">
        <v>30</v>
      </c>
      <c r="C24" s="3" t="s">
        <v>31</v>
      </c>
      <c r="D24" s="2" t="s">
        <v>135</v>
      </c>
      <c r="E24" s="2" t="s">
        <v>45</v>
      </c>
      <c r="F24" s="3" t="s">
        <v>136</v>
      </c>
      <c r="G24" s="3" t="s">
        <v>54</v>
      </c>
      <c r="H24" s="3" t="s">
        <v>137</v>
      </c>
      <c r="I24" s="4">
        <f>(210.00*4.5)+(0.00*9)</f>
      </c>
      <c r="J24" s="4">
        <f>0.00+0.00</f>
      </c>
      <c r="K24" s="4">
        <v>5200</v>
      </c>
      <c r="L24" s="4">
        <v>110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5">
        <f>SUM(I24:Q24)</f>
      </c>
      <c r="S24" s="6">
        <v>0</v>
      </c>
      <c r="T24" s="7">
        <f>R24-S24</f>
      </c>
      <c r="U24" s="3" t="s">
        <v>37</v>
      </c>
      <c r="V24" s="3" t="s">
        <v>38</v>
      </c>
      <c r="W24" s="3" t="s">
        <v>138</v>
      </c>
      <c r="X24" s="3" t="s">
        <v>40</v>
      </c>
      <c r="Y24" s="3" t="s">
        <v>41</v>
      </c>
      <c r="Z24" s="3" t="s">
        <v>37</v>
      </c>
      <c r="AA24" s="3" t="s">
        <v>74</v>
      </c>
      <c r="AB24" s="3" t="s">
        <v>43</v>
      </c>
      <c r="AC24" s="4">
        <v>6336</v>
      </c>
      <c r="AD24" s="8">
        <f>AC24-R24</f>
      </c>
    </row>
    <row r="25" ht="20" customHeight="1" spans="1:30" x14ac:dyDescent="0.25">
      <c r="A25" s="2">
        <v>24</v>
      </c>
      <c r="B25" s="3" t="s">
        <v>30</v>
      </c>
      <c r="C25" s="3" t="s">
        <v>31</v>
      </c>
      <c r="D25" s="2" t="s">
        <v>139</v>
      </c>
      <c r="E25" s="2" t="s">
        <v>52</v>
      </c>
      <c r="F25" s="3" t="s">
        <v>53</v>
      </c>
      <c r="G25" s="3" t="s">
        <v>47</v>
      </c>
      <c r="H25" s="3" t="s">
        <v>140</v>
      </c>
      <c r="I25" s="4">
        <f>(2040.00*4.5)+(0.00*9)</f>
      </c>
      <c r="J25" s="4">
        <f>400.00+1220.00</f>
      </c>
      <c r="K25" s="4">
        <v>3750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5">
        <f>SUM(I25:Q25)</f>
      </c>
      <c r="S25" s="6">
        <v>0</v>
      </c>
      <c r="T25" s="7">
        <f>R25-S25</f>
      </c>
      <c r="U25" s="3" t="s">
        <v>37</v>
      </c>
      <c r="V25" s="3" t="s">
        <v>38</v>
      </c>
      <c r="W25" s="3" t="s">
        <v>141</v>
      </c>
      <c r="X25" s="3" t="s">
        <v>40</v>
      </c>
      <c r="Y25" s="3" t="s">
        <v>41</v>
      </c>
      <c r="Z25" s="3" t="s">
        <v>37</v>
      </c>
      <c r="AA25" s="3" t="s">
        <v>48</v>
      </c>
      <c r="AB25" s="3" t="s">
        <v>43</v>
      </c>
      <c r="AC25" s="4">
        <v>14680</v>
      </c>
      <c r="AD25" s="8">
        <f>AC25-R25</f>
      </c>
    </row>
    <row r="26" ht="20" customHeight="1" spans="1:30" x14ac:dyDescent="0.25">
      <c r="A26" s="2">
        <v>25</v>
      </c>
      <c r="B26" s="3" t="s">
        <v>30</v>
      </c>
      <c r="C26" s="3" t="s">
        <v>31</v>
      </c>
      <c r="D26" s="2" t="s">
        <v>142</v>
      </c>
      <c r="E26" s="2" t="s">
        <v>33</v>
      </c>
      <c r="F26" s="3" t="s">
        <v>119</v>
      </c>
      <c r="G26" s="3" t="s">
        <v>47</v>
      </c>
      <c r="H26" s="3" t="s">
        <v>143</v>
      </c>
      <c r="I26" s="4">
        <f>(430.00*4.5)+(0.00*9)</f>
      </c>
      <c r="J26" s="4">
        <f>1120.00+5150.00</f>
      </c>
      <c r="K26" s="4">
        <v>3750</v>
      </c>
      <c r="L26" s="4">
        <v>0</v>
      </c>
      <c r="M26" s="4">
        <v>0</v>
      </c>
      <c r="N26" s="4">
        <v>5400</v>
      </c>
      <c r="O26" s="4">
        <v>0</v>
      </c>
      <c r="P26" s="4">
        <v>900</v>
      </c>
      <c r="Q26" s="4">
        <v>0</v>
      </c>
      <c r="R26" s="5">
        <f>SUM(I26:Q26)</f>
      </c>
      <c r="S26" s="6">
        <v>0</v>
      </c>
      <c r="T26" s="7">
        <f>R26-S26</f>
      </c>
      <c r="U26" s="3" t="s">
        <v>37</v>
      </c>
      <c r="V26" s="3" t="s">
        <v>38</v>
      </c>
      <c r="W26" s="3" t="s">
        <v>144</v>
      </c>
      <c r="X26" s="3" t="s">
        <v>40</v>
      </c>
      <c r="Y26" s="3" t="s">
        <v>41</v>
      </c>
      <c r="Z26" s="3" t="s">
        <v>37</v>
      </c>
      <c r="AA26" s="3" t="s">
        <v>48</v>
      </c>
      <c r="AB26" s="3" t="s">
        <v>43</v>
      </c>
      <c r="AC26" s="4">
        <v>19900</v>
      </c>
      <c r="AD26" s="8">
        <f>AC26-R26</f>
      </c>
    </row>
    <row r="27" ht="20" customHeight="1" spans="1:30" x14ac:dyDescent="0.25">
      <c r="A27" s="2">
        <v>26</v>
      </c>
      <c r="B27" s="3" t="s">
        <v>30</v>
      </c>
      <c r="C27" s="3" t="s">
        <v>31</v>
      </c>
      <c r="D27" s="2" t="s">
        <v>145</v>
      </c>
      <c r="E27" s="2" t="s">
        <v>59</v>
      </c>
      <c r="F27" s="3" t="s">
        <v>146</v>
      </c>
      <c r="G27" s="3" t="s">
        <v>47</v>
      </c>
      <c r="H27" s="3" t="s">
        <v>147</v>
      </c>
      <c r="I27" s="4">
        <f>(347.00*4.5)+(0.00*9)</f>
      </c>
      <c r="J27" s="4">
        <f>200.00+990.00</f>
      </c>
      <c r="K27" s="4">
        <v>5500</v>
      </c>
      <c r="L27" s="4">
        <v>0</v>
      </c>
      <c r="M27" s="4">
        <v>0</v>
      </c>
      <c r="N27" s="4">
        <v>900</v>
      </c>
      <c r="O27" s="4">
        <v>0</v>
      </c>
      <c r="P27" s="4">
        <v>0</v>
      </c>
      <c r="Q27" s="4">
        <v>0</v>
      </c>
      <c r="R27" s="5">
        <f>SUM(I27:Q27)</f>
      </c>
      <c r="S27" s="6">
        <v>0</v>
      </c>
      <c r="T27" s="7">
        <f>R27-S27</f>
      </c>
      <c r="U27" s="3" t="s">
        <v>37</v>
      </c>
      <c r="V27" s="3" t="s">
        <v>38</v>
      </c>
      <c r="W27" s="3" t="s">
        <v>148</v>
      </c>
      <c r="X27" s="3" t="s">
        <v>40</v>
      </c>
      <c r="Y27" s="3" t="s">
        <v>41</v>
      </c>
      <c r="Z27" s="3" t="s">
        <v>37</v>
      </c>
      <c r="AA27" s="3" t="s">
        <v>50</v>
      </c>
      <c r="AB27" s="3" t="s">
        <v>43</v>
      </c>
      <c r="AC27" s="4">
        <v>9739</v>
      </c>
      <c r="AD27" s="8">
        <f>AC27-R27</f>
      </c>
    </row>
    <row r="28" ht="20" customHeight="1" spans="1:30" x14ac:dyDescent="0.25">
      <c r="A28" s="2">
        <v>27</v>
      </c>
      <c r="B28" s="3" t="s">
        <v>30</v>
      </c>
      <c r="C28" s="3" t="s">
        <v>31</v>
      </c>
      <c r="D28" s="2" t="s">
        <v>149</v>
      </c>
      <c r="E28" s="2" t="s">
        <v>59</v>
      </c>
      <c r="F28" s="3" t="s">
        <v>81</v>
      </c>
      <c r="G28" s="3" t="s">
        <v>54</v>
      </c>
      <c r="H28" s="3" t="s">
        <v>150</v>
      </c>
      <c r="I28" s="4">
        <f>(0.00*4.5)+(0.00*9)</f>
      </c>
      <c r="J28" s="4">
        <f>0.00+0.00</f>
      </c>
      <c r="K28" s="4">
        <v>3900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5">
        <f>SUM(I28:Q28)</f>
      </c>
      <c r="S28" s="6">
        <v>0</v>
      </c>
      <c r="T28" s="7">
        <f>R28-S28</f>
      </c>
      <c r="U28" s="3" t="s">
        <v>37</v>
      </c>
      <c r="V28" s="3" t="s">
        <v>38</v>
      </c>
      <c r="W28" s="3" t="s">
        <v>151</v>
      </c>
      <c r="X28" s="3" t="s">
        <v>40</v>
      </c>
      <c r="Y28" s="3" t="s">
        <v>41</v>
      </c>
      <c r="Z28" s="3" t="s">
        <v>37</v>
      </c>
      <c r="AA28" s="3" t="s">
        <v>74</v>
      </c>
      <c r="AB28" s="3" t="s">
        <v>43</v>
      </c>
      <c r="AC28" s="4">
        <v>4053</v>
      </c>
      <c r="AD28" s="8">
        <f>AC28-R28</f>
      </c>
    </row>
    <row r="29" ht="20" customHeight="1" spans="1:30" x14ac:dyDescent="0.25">
      <c r="A29" s="2">
        <v>28</v>
      </c>
      <c r="B29" s="3" t="s">
        <v>30</v>
      </c>
      <c r="C29" s="3" t="s">
        <v>31</v>
      </c>
      <c r="D29" s="2" t="s">
        <v>152</v>
      </c>
      <c r="E29" s="2" t="s">
        <v>33</v>
      </c>
      <c r="F29" s="3" t="s">
        <v>153</v>
      </c>
      <c r="G29" s="3" t="s">
        <v>54</v>
      </c>
      <c r="H29" s="3" t="s">
        <v>154</v>
      </c>
      <c r="I29" s="4">
        <f>(218.89*4.5)+(0.00*9)</f>
      </c>
      <c r="J29" s="4">
        <f>5150.00+11985.00</f>
      </c>
      <c r="K29" s="4">
        <v>8300</v>
      </c>
      <c r="L29" s="4">
        <v>0</v>
      </c>
      <c r="M29" s="4">
        <v>0</v>
      </c>
      <c r="N29" s="4">
        <v>20990</v>
      </c>
      <c r="O29" s="4">
        <v>0</v>
      </c>
      <c r="P29" s="4">
        <v>0</v>
      </c>
      <c r="Q29" s="4">
        <v>0</v>
      </c>
      <c r="R29" s="5">
        <f>SUM(I29:Q29)</f>
      </c>
      <c r="S29" s="6">
        <v>0</v>
      </c>
      <c r="T29" s="7">
        <f>R29-S29</f>
      </c>
      <c r="U29" s="3" t="s">
        <v>37</v>
      </c>
      <c r="V29" s="3" t="s">
        <v>38</v>
      </c>
      <c r="W29" s="3" t="s">
        <v>155</v>
      </c>
      <c r="X29" s="3" t="s">
        <v>40</v>
      </c>
      <c r="Y29" s="3" t="s">
        <v>41</v>
      </c>
      <c r="Z29" s="3" t="s">
        <v>37</v>
      </c>
      <c r="AA29" s="3" t="s">
        <v>156</v>
      </c>
      <c r="AB29" s="3" t="s">
        <v>43</v>
      </c>
      <c r="AC29" s="4">
        <v>48210</v>
      </c>
      <c r="AD29" s="8">
        <f>AC29-R29</f>
      </c>
    </row>
    <row r="30" ht="20" customHeight="1" spans="1:30" x14ac:dyDescent="0.25">
      <c r="A30" s="2">
        <v>29</v>
      </c>
      <c r="B30" s="3" t="s">
        <v>30</v>
      </c>
      <c r="C30" s="3" t="s">
        <v>31</v>
      </c>
      <c r="D30" s="2" t="s">
        <v>157</v>
      </c>
      <c r="E30" s="2" t="s">
        <v>52</v>
      </c>
      <c r="F30" s="3" t="s">
        <v>53</v>
      </c>
      <c r="G30" s="3" t="s">
        <v>54</v>
      </c>
      <c r="H30" s="3" t="s">
        <v>158</v>
      </c>
      <c r="I30" s="4">
        <f>(2114.00*4.5)+(0.00*9)</f>
      </c>
      <c r="J30" s="4">
        <f>100.00+780.00</f>
      </c>
      <c r="K30" s="4">
        <v>3750</v>
      </c>
      <c r="L30" s="4">
        <v>0</v>
      </c>
      <c r="M30" s="4">
        <v>0</v>
      </c>
      <c r="N30" s="4">
        <v>0</v>
      </c>
      <c r="O30" s="4">
        <v>0</v>
      </c>
      <c r="P30" s="4">
        <v>300</v>
      </c>
      <c r="Q30" s="4">
        <v>0</v>
      </c>
      <c r="R30" s="5">
        <f>SUM(I30:Q30)</f>
      </c>
      <c r="S30" s="6">
        <v>0</v>
      </c>
      <c r="T30" s="7">
        <f>R30-S30</f>
      </c>
      <c r="U30" s="3" t="s">
        <v>37</v>
      </c>
      <c r="V30" s="3" t="s">
        <v>38</v>
      </c>
      <c r="W30" s="3" t="s">
        <v>37</v>
      </c>
      <c r="X30" s="3" t="s">
        <v>40</v>
      </c>
      <c r="Y30" s="3" t="s">
        <v>41</v>
      </c>
      <c r="Z30" s="3" t="s">
        <v>37</v>
      </c>
      <c r="AA30" s="3" t="s">
        <v>57</v>
      </c>
      <c r="AB30" s="3" t="s">
        <v>43</v>
      </c>
      <c r="AC30" s="4">
        <v>15205</v>
      </c>
      <c r="AD30" s="8">
        <f>AC30-R30</f>
      </c>
    </row>
    <row r="31" ht="20" customHeight="1" spans="1:30" x14ac:dyDescent="0.25">
      <c r="A31" s="2">
        <v>30</v>
      </c>
      <c r="B31" s="3" t="s">
        <v>30</v>
      </c>
      <c r="C31" s="3" t="s">
        <v>31</v>
      </c>
      <c r="D31" s="2" t="s">
        <v>159</v>
      </c>
      <c r="E31" s="2" t="s">
        <v>33</v>
      </c>
      <c r="F31" s="3" t="s">
        <v>160</v>
      </c>
      <c r="G31" s="3" t="s">
        <v>54</v>
      </c>
      <c r="H31" s="3" t="s">
        <v>161</v>
      </c>
      <c r="I31" s="4">
        <f>(0.00*4.5)+(0.00*9)</f>
      </c>
      <c r="J31" s="4">
        <f>3470.00+9916.00</f>
      </c>
      <c r="K31" s="4">
        <v>8100</v>
      </c>
      <c r="L31" s="4">
        <v>0</v>
      </c>
      <c r="M31" s="4">
        <v>0</v>
      </c>
      <c r="N31" s="4">
        <v>10750</v>
      </c>
      <c r="O31" s="4">
        <v>0</v>
      </c>
      <c r="P31" s="4">
        <v>0</v>
      </c>
      <c r="Q31" s="4">
        <v>0</v>
      </c>
      <c r="R31" s="5">
        <f>SUM(I31:Q31)</f>
      </c>
      <c r="S31" s="6">
        <v>0</v>
      </c>
      <c r="T31" s="7">
        <f>R31-S31</f>
      </c>
      <c r="U31" s="3" t="s">
        <v>37</v>
      </c>
      <c r="V31" s="3" t="s">
        <v>38</v>
      </c>
      <c r="W31" s="3" t="s">
        <v>37</v>
      </c>
      <c r="X31" s="3" t="s">
        <v>40</v>
      </c>
      <c r="Y31" s="3" t="s">
        <v>41</v>
      </c>
      <c r="Z31" s="3" t="s">
        <v>37</v>
      </c>
      <c r="AA31" s="3" t="s">
        <v>156</v>
      </c>
      <c r="AB31" s="3" t="s">
        <v>43</v>
      </c>
      <c r="AC31" s="4">
        <v>32236</v>
      </c>
      <c r="AD31" s="8">
        <f>AC31-R31</f>
      </c>
    </row>
    <row r="32" ht="20" customHeight="1" spans="1:30" x14ac:dyDescent="0.25">
      <c r="A32" s="2">
        <v>31</v>
      </c>
      <c r="B32" s="3" t="s">
        <v>30</v>
      </c>
      <c r="C32" s="3" t="s">
        <v>31</v>
      </c>
      <c r="D32" s="2" t="s">
        <v>162</v>
      </c>
      <c r="E32" s="2" t="s">
        <v>33</v>
      </c>
      <c r="F32" s="3" t="s">
        <v>119</v>
      </c>
      <c r="G32" s="3" t="s">
        <v>47</v>
      </c>
      <c r="H32" s="3" t="s">
        <v>163</v>
      </c>
      <c r="I32" s="4">
        <f>(0.00*4.5)+(0.00*9)</f>
      </c>
      <c r="J32" s="4">
        <f>0.00+900.00</f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5">
        <f>SUM(I32:Q32)</f>
      </c>
      <c r="S32" s="6">
        <v>0</v>
      </c>
      <c r="T32" s="7">
        <f>R32-S32</f>
      </c>
      <c r="U32" s="3" t="s">
        <v>37</v>
      </c>
      <c r="V32" s="3" t="s">
        <v>38</v>
      </c>
      <c r="W32" s="3" t="s">
        <v>164</v>
      </c>
      <c r="X32" s="3" t="s">
        <v>40</v>
      </c>
      <c r="Y32" s="3" t="s">
        <v>41</v>
      </c>
      <c r="Z32" s="3" t="s">
        <v>37</v>
      </c>
      <c r="AA32" s="3" t="s">
        <v>165</v>
      </c>
      <c r="AB32" s="3" t="s">
        <v>43</v>
      </c>
      <c r="AC32" s="4">
        <v>2437.5</v>
      </c>
      <c r="AD32" s="8">
        <f>AC32-R32</f>
      </c>
    </row>
    <row r="33" ht="20" customHeight="1" spans="1:30" x14ac:dyDescent="0.25">
      <c r="A33" s="2">
        <v>32</v>
      </c>
      <c r="B33" s="3" t="s">
        <v>30</v>
      </c>
      <c r="C33" s="3" t="s">
        <v>31</v>
      </c>
      <c r="D33" s="2" t="s">
        <v>166</v>
      </c>
      <c r="E33" s="2" t="s">
        <v>33</v>
      </c>
      <c r="F33" s="3" t="s">
        <v>93</v>
      </c>
      <c r="G33" s="3" t="s">
        <v>54</v>
      </c>
      <c r="H33" s="3" t="s">
        <v>167</v>
      </c>
      <c r="I33" s="4">
        <f>(1024.00*4.5)+(0.00*9)</f>
      </c>
      <c r="J33" s="4">
        <f>1258.00+2580.00</f>
      </c>
      <c r="K33" s="4">
        <v>6600</v>
      </c>
      <c r="L33" s="4">
        <v>1130</v>
      </c>
      <c r="M33" s="4">
        <v>0</v>
      </c>
      <c r="N33" s="4">
        <v>7498</v>
      </c>
      <c r="O33" s="4">
        <v>0</v>
      </c>
      <c r="P33" s="4">
        <v>0</v>
      </c>
      <c r="Q33" s="4">
        <v>0</v>
      </c>
      <c r="R33" s="5">
        <f>SUM(I33:Q33)</f>
      </c>
      <c r="S33" s="6">
        <v>0</v>
      </c>
      <c r="T33" s="7">
        <f>R33-S33</f>
      </c>
      <c r="U33" s="3" t="s">
        <v>37</v>
      </c>
      <c r="V33" s="3" t="s">
        <v>38</v>
      </c>
      <c r="W33" s="3" t="s">
        <v>168</v>
      </c>
      <c r="X33" s="3" t="s">
        <v>40</v>
      </c>
      <c r="Y33" s="3" t="s">
        <v>41</v>
      </c>
      <c r="Z33" s="3" t="s">
        <v>37</v>
      </c>
      <c r="AA33" s="3" t="s">
        <v>74</v>
      </c>
      <c r="AB33" s="3" t="s">
        <v>43</v>
      </c>
      <c r="AC33" s="4">
        <v>24502</v>
      </c>
      <c r="AD33" s="8">
        <f>AC33-R33</f>
      </c>
    </row>
    <row r="34" ht="20" customHeight="1" spans="1:30" x14ac:dyDescent="0.25">
      <c r="A34" s="2">
        <v>33</v>
      </c>
      <c r="B34" s="3" t="s">
        <v>30</v>
      </c>
      <c r="C34" s="3" t="s">
        <v>31</v>
      </c>
      <c r="D34" s="2" t="s">
        <v>169</v>
      </c>
      <c r="E34" s="2" t="s">
        <v>66</v>
      </c>
      <c r="F34" s="3" t="s">
        <v>170</v>
      </c>
      <c r="G34" s="3" t="s">
        <v>54</v>
      </c>
      <c r="H34" s="3" t="s">
        <v>171</v>
      </c>
      <c r="I34" s="4">
        <f>(797.00*4.5)+(0.00*9)</f>
      </c>
      <c r="J34" s="4">
        <f>1430.00+6050.00</f>
      </c>
      <c r="K34" s="4">
        <v>5650</v>
      </c>
      <c r="L34" s="4">
        <v>1227</v>
      </c>
      <c r="M34" s="4">
        <v>0</v>
      </c>
      <c r="N34" s="4">
        <v>12601</v>
      </c>
      <c r="O34" s="4">
        <v>0</v>
      </c>
      <c r="P34" s="4">
        <v>300</v>
      </c>
      <c r="Q34" s="4">
        <v>0</v>
      </c>
      <c r="R34" s="5">
        <f>SUM(I34:Q34)</f>
      </c>
      <c r="S34" s="6">
        <v>0</v>
      </c>
      <c r="T34" s="7">
        <f>R34-S34</f>
      </c>
      <c r="U34" s="3" t="s">
        <v>37</v>
      </c>
      <c r="V34" s="3" t="s">
        <v>38</v>
      </c>
      <c r="W34" s="3" t="s">
        <v>78</v>
      </c>
      <c r="X34" s="3" t="s">
        <v>40</v>
      </c>
      <c r="Y34" s="3" t="s">
        <v>41</v>
      </c>
      <c r="Z34" s="3" t="s">
        <v>37</v>
      </c>
      <c r="AA34" s="3" t="s">
        <v>79</v>
      </c>
      <c r="AB34" s="3" t="s">
        <v>43</v>
      </c>
      <c r="AC34" s="4">
        <v>32294.5</v>
      </c>
      <c r="AD34" s="8">
        <f>AC34-R34</f>
      </c>
    </row>
    <row r="35" ht="20" customHeight="1" spans="1:30" x14ac:dyDescent="0.25">
      <c r="A35" s="2">
        <v>34</v>
      </c>
      <c r="B35" s="3" t="s">
        <v>30</v>
      </c>
      <c r="C35" s="3" t="s">
        <v>31</v>
      </c>
      <c r="D35" s="2" t="s">
        <v>172</v>
      </c>
      <c r="E35" s="2" t="s">
        <v>33</v>
      </c>
      <c r="F35" s="3" t="s">
        <v>173</v>
      </c>
      <c r="G35" s="3" t="s">
        <v>61</v>
      </c>
      <c r="H35" s="3" t="s">
        <v>174</v>
      </c>
      <c r="I35" s="4">
        <f>(2247.00*4.5)+(0.00*9)</f>
      </c>
      <c r="J35" s="4">
        <f>0.00+0.00</f>
      </c>
      <c r="K35" s="4">
        <v>4600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5">
        <f>SUM(I35:Q35)</f>
      </c>
      <c r="S35" s="6">
        <v>0</v>
      </c>
      <c r="T35" s="7">
        <f>R35-S35</f>
      </c>
      <c r="U35" s="3" t="s">
        <v>37</v>
      </c>
      <c r="V35" s="3" t="s">
        <v>38</v>
      </c>
      <c r="W35" s="3" t="s">
        <v>175</v>
      </c>
      <c r="X35" s="3" t="s">
        <v>40</v>
      </c>
      <c r="Y35" s="3" t="s">
        <v>41</v>
      </c>
      <c r="Z35" s="3" t="s">
        <v>37</v>
      </c>
      <c r="AA35" s="3" t="s">
        <v>69</v>
      </c>
      <c r="AB35" s="3" t="s">
        <v>43</v>
      </c>
      <c r="AC35" s="4">
        <v>15165.5</v>
      </c>
      <c r="AD35" s="8">
        <f>AC35-R35</f>
      </c>
    </row>
    <row r="36" ht="20" customHeight="1" spans="1:30" x14ac:dyDescent="0.25">
      <c r="A36" s="2">
        <v>35</v>
      </c>
      <c r="B36" s="3" t="s">
        <v>30</v>
      </c>
      <c r="C36" s="3" t="s">
        <v>31</v>
      </c>
      <c r="D36" s="2" t="s">
        <v>176</v>
      </c>
      <c r="E36" s="2" t="s">
        <v>33</v>
      </c>
      <c r="F36" s="3" t="s">
        <v>119</v>
      </c>
      <c r="G36" s="3" t="s">
        <v>54</v>
      </c>
      <c r="H36" s="3" t="s">
        <v>177</v>
      </c>
      <c r="I36" s="4">
        <f>(1356.00*4.5)+(0.00*9)</f>
      </c>
      <c r="J36" s="4">
        <f>0.00+0.00</f>
      </c>
      <c r="K36" s="4">
        <v>1800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5">
        <f>SUM(I36:Q36)</f>
      </c>
      <c r="S36" s="6">
        <v>0</v>
      </c>
      <c r="T36" s="7">
        <f>R36-S36</f>
      </c>
      <c r="U36" s="3" t="s">
        <v>37</v>
      </c>
      <c r="V36" s="3" t="s">
        <v>38</v>
      </c>
      <c r="W36" s="3" t="s">
        <v>178</v>
      </c>
      <c r="X36" s="3" t="s">
        <v>40</v>
      </c>
      <c r="Y36" s="3" t="s">
        <v>41</v>
      </c>
      <c r="Z36" s="3" t="s">
        <v>37</v>
      </c>
      <c r="AA36" s="3" t="s">
        <v>179</v>
      </c>
      <c r="AB36" s="3" t="s">
        <v>43</v>
      </c>
      <c r="AC36" s="4">
        <v>7902</v>
      </c>
      <c r="AD36" s="8">
        <f>AC36-R36</f>
      </c>
    </row>
    <row r="37" ht="20" customHeight="1" spans="1:30" x14ac:dyDescent="0.25">
      <c r="A37" s="2">
        <v>36</v>
      </c>
      <c r="B37" s="3" t="s">
        <v>30</v>
      </c>
      <c r="C37" s="3" t="s">
        <v>31</v>
      </c>
      <c r="D37" s="2" t="s">
        <v>180</v>
      </c>
      <c r="E37" s="2" t="s">
        <v>59</v>
      </c>
      <c r="F37" s="3" t="s">
        <v>34</v>
      </c>
      <c r="G37" s="3" t="s">
        <v>61</v>
      </c>
      <c r="H37" s="3" t="s">
        <v>181</v>
      </c>
      <c r="I37" s="4">
        <f>(2526.00*4.5)+(0.00*9)</f>
      </c>
      <c r="J37" s="4">
        <f>0.00+1800.00</f>
      </c>
      <c r="K37" s="4">
        <v>5850</v>
      </c>
      <c r="L37" s="4">
        <v>170</v>
      </c>
      <c r="M37" s="4">
        <v>0</v>
      </c>
      <c r="N37" s="4">
        <v>950</v>
      </c>
      <c r="O37" s="4">
        <v>0</v>
      </c>
      <c r="P37" s="4">
        <v>0</v>
      </c>
      <c r="Q37" s="4">
        <v>0</v>
      </c>
      <c r="R37" s="5">
        <f>SUM(I37:Q37)</f>
      </c>
      <c r="S37" s="6">
        <v>0</v>
      </c>
      <c r="T37" s="7">
        <f>R37-S37</f>
      </c>
      <c r="U37" s="3" t="s">
        <v>37</v>
      </c>
      <c r="V37" s="3" t="s">
        <v>38</v>
      </c>
      <c r="W37" s="3" t="s">
        <v>182</v>
      </c>
      <c r="X37" s="3" t="s">
        <v>40</v>
      </c>
      <c r="Y37" s="3" t="s">
        <v>41</v>
      </c>
      <c r="Z37" s="3" t="s">
        <v>37</v>
      </c>
      <c r="AA37" s="3" t="s">
        <v>96</v>
      </c>
      <c r="AB37" s="3" t="s">
        <v>43</v>
      </c>
      <c r="AC37" s="4">
        <v>20137</v>
      </c>
      <c r="AD37" s="8">
        <f>AC37-R37</f>
      </c>
    </row>
    <row r="38" ht="20" customHeight="1" spans="1:30" x14ac:dyDescent="0.25">
      <c r="A38" s="2">
        <v>37</v>
      </c>
      <c r="B38" s="3" t="s">
        <v>30</v>
      </c>
      <c r="C38" s="3" t="s">
        <v>31</v>
      </c>
      <c r="D38" s="2" t="s">
        <v>183</v>
      </c>
      <c r="E38" s="2" t="s">
        <v>66</v>
      </c>
      <c r="F38" s="3" t="s">
        <v>170</v>
      </c>
      <c r="G38" s="3" t="s">
        <v>54</v>
      </c>
      <c r="H38" s="3" t="s">
        <v>184</v>
      </c>
      <c r="I38" s="4">
        <f>(12.00*4.5)+(0.00*9)</f>
      </c>
      <c r="J38" s="4">
        <f>0.00+0.00</f>
      </c>
      <c r="K38" s="4">
        <v>5400</v>
      </c>
      <c r="L38" s="4">
        <v>299</v>
      </c>
      <c r="M38" s="4">
        <v>0</v>
      </c>
      <c r="N38" s="4">
        <v>0</v>
      </c>
      <c r="O38" s="4">
        <v>0</v>
      </c>
      <c r="P38" s="4">
        <v>250</v>
      </c>
      <c r="Q38" s="4">
        <v>0</v>
      </c>
      <c r="R38" s="5">
        <f>SUM(I38:Q38)</f>
      </c>
      <c r="S38" s="6">
        <v>0</v>
      </c>
      <c r="T38" s="7">
        <f>R38-S38</f>
      </c>
      <c r="U38" s="3" t="s">
        <v>37</v>
      </c>
      <c r="V38" s="3" t="s">
        <v>38</v>
      </c>
      <c r="W38" s="3" t="s">
        <v>185</v>
      </c>
      <c r="X38" s="3" t="s">
        <v>40</v>
      </c>
      <c r="Y38" s="3" t="s">
        <v>41</v>
      </c>
      <c r="Z38" s="3" t="s">
        <v>37</v>
      </c>
      <c r="AA38" s="3" t="s">
        <v>74</v>
      </c>
      <c r="AB38" s="3" t="s">
        <v>43</v>
      </c>
      <c r="AC38" s="4">
        <v>6075</v>
      </c>
      <c r="AD38" s="8">
        <f>AC38-R38</f>
      </c>
    </row>
    <row r="39" ht="20" customHeight="1" spans="1:30" x14ac:dyDescent="0.25">
      <c r="A39" s="2">
        <v>38</v>
      </c>
      <c r="B39" s="3" t="s">
        <v>30</v>
      </c>
      <c r="C39" s="3" t="s">
        <v>31</v>
      </c>
      <c r="D39" s="2" t="s">
        <v>186</v>
      </c>
      <c r="E39" s="2" t="s">
        <v>33</v>
      </c>
      <c r="F39" s="3" t="s">
        <v>136</v>
      </c>
      <c r="G39" s="3" t="s">
        <v>35</v>
      </c>
      <c r="H39" s="3" t="s">
        <v>187</v>
      </c>
      <c r="I39" s="4">
        <f>(596.00*4.5)+(0.00*9)</f>
      </c>
      <c r="J39" s="4">
        <f>0.00+0.00</f>
      </c>
      <c r="K39" s="4">
        <v>2200</v>
      </c>
      <c r="L39" s="4">
        <v>805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5">
        <f>SUM(I39:Q39)</f>
      </c>
      <c r="S39" s="6">
        <v>0</v>
      </c>
      <c r="T39" s="7">
        <f>R39-S39</f>
      </c>
      <c r="U39" s="3" t="s">
        <v>37</v>
      </c>
      <c r="V39" s="3" t="s">
        <v>38</v>
      </c>
      <c r="W39" s="3" t="s">
        <v>188</v>
      </c>
      <c r="X39" s="3" t="s">
        <v>40</v>
      </c>
      <c r="Y39" s="3" t="s">
        <v>41</v>
      </c>
      <c r="Z39" s="3" t="s">
        <v>37</v>
      </c>
      <c r="AA39" s="3" t="s">
        <v>42</v>
      </c>
      <c r="AB39" s="3" t="s">
        <v>43</v>
      </c>
      <c r="AC39" s="4">
        <v>9081</v>
      </c>
      <c r="AD39" s="8">
        <f>AC39-R39</f>
      </c>
    </row>
    <row r="40" ht="20" customHeight="1" spans="1:30" x14ac:dyDescent="0.25">
      <c r="A40" s="2">
        <v>39</v>
      </c>
      <c r="B40" s="3" t="s">
        <v>30</v>
      </c>
      <c r="C40" s="3" t="s">
        <v>31</v>
      </c>
      <c r="D40" s="2" t="s">
        <v>189</v>
      </c>
      <c r="E40" s="2" t="s">
        <v>52</v>
      </c>
      <c r="F40" s="3" t="s">
        <v>190</v>
      </c>
      <c r="G40" s="3" t="s">
        <v>61</v>
      </c>
      <c r="H40" s="3" t="s">
        <v>191</v>
      </c>
      <c r="I40" s="4">
        <f>(394.00*4.5)+(0.00*9)</f>
      </c>
      <c r="J40" s="4">
        <f>0.00+0.00</f>
      </c>
      <c r="K40" s="4">
        <v>1000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5">
        <f>SUM(I40:Q40)</f>
      </c>
      <c r="S40" s="6">
        <v>0</v>
      </c>
      <c r="T40" s="7">
        <f>R40-S40</f>
      </c>
      <c r="U40" s="3" t="s">
        <v>37</v>
      </c>
      <c r="V40" s="3" t="s">
        <v>38</v>
      </c>
      <c r="W40" s="3" t="s">
        <v>192</v>
      </c>
      <c r="X40" s="3" t="s">
        <v>40</v>
      </c>
      <c r="Y40" s="3" t="s">
        <v>41</v>
      </c>
      <c r="Z40" s="3" t="s">
        <v>37</v>
      </c>
      <c r="AA40" s="3" t="s">
        <v>69</v>
      </c>
      <c r="AB40" s="3" t="s">
        <v>43</v>
      </c>
      <c r="AC40" s="4">
        <v>3708</v>
      </c>
      <c r="AD40" s="8">
        <f>AC40-R40</f>
      </c>
    </row>
    <row r="41" ht="20" customHeight="1" spans="1:30" x14ac:dyDescent="0.25">
      <c r="A41" s="2">
        <v>40</v>
      </c>
      <c r="B41" s="3" t="s">
        <v>30</v>
      </c>
      <c r="C41" s="3" t="s">
        <v>31</v>
      </c>
      <c r="D41" s="2" t="s">
        <v>193</v>
      </c>
      <c r="E41" s="2" t="s">
        <v>33</v>
      </c>
      <c r="F41" s="3" t="s">
        <v>160</v>
      </c>
      <c r="G41" s="3" t="s">
        <v>54</v>
      </c>
      <c r="H41" s="3" t="s">
        <v>194</v>
      </c>
      <c r="I41" s="4">
        <f>(0.00*4.5)+(0.00*9)</f>
      </c>
      <c r="J41" s="4">
        <f>2490.00+8248.10</f>
      </c>
      <c r="K41" s="4">
        <v>4900</v>
      </c>
      <c r="L41" s="4">
        <v>0</v>
      </c>
      <c r="M41" s="4">
        <v>0</v>
      </c>
      <c r="N41" s="4">
        <v>4750</v>
      </c>
      <c r="O41" s="4">
        <v>0</v>
      </c>
      <c r="P41" s="4">
        <v>0</v>
      </c>
      <c r="Q41" s="4">
        <v>0</v>
      </c>
      <c r="R41" s="5">
        <f>SUM(I41:Q41)</f>
      </c>
      <c r="S41" s="6">
        <v>0</v>
      </c>
      <c r="T41" s="7">
        <f>R41-S41</f>
      </c>
      <c r="U41" s="3" t="s">
        <v>37</v>
      </c>
      <c r="V41" s="3" t="s">
        <v>38</v>
      </c>
      <c r="W41" s="3" t="s">
        <v>37</v>
      </c>
      <c r="X41" s="3" t="s">
        <v>40</v>
      </c>
      <c r="Y41" s="3" t="s">
        <v>41</v>
      </c>
      <c r="Z41" s="3" t="s">
        <v>37</v>
      </c>
      <c r="AA41" s="3" t="s">
        <v>156</v>
      </c>
      <c r="AB41" s="3" t="s">
        <v>43</v>
      </c>
      <c r="AC41" s="4">
        <v>20888.1</v>
      </c>
      <c r="AD41" s="8">
        <f>AC41-R41</f>
      </c>
    </row>
    <row r="42" ht="20" customHeight="1" spans="1:30" x14ac:dyDescent="0.25">
      <c r="A42" s="2">
        <v>41</v>
      </c>
      <c r="B42" s="3" t="s">
        <v>30</v>
      </c>
      <c r="C42" s="3" t="s">
        <v>31</v>
      </c>
      <c r="D42" s="2" t="s">
        <v>195</v>
      </c>
      <c r="E42" s="2" t="s">
        <v>45</v>
      </c>
      <c r="F42" s="3" t="s">
        <v>102</v>
      </c>
      <c r="G42" s="3" t="s">
        <v>35</v>
      </c>
      <c r="H42" s="3" t="s">
        <v>128</v>
      </c>
      <c r="I42" s="4">
        <f>(639.00*4.5)+(0.00*9)</f>
      </c>
      <c r="J42" s="4">
        <f>700.00+5497.00</f>
      </c>
      <c r="K42" s="4">
        <v>3400</v>
      </c>
      <c r="L42" s="4">
        <v>0</v>
      </c>
      <c r="M42" s="4">
        <v>0</v>
      </c>
      <c r="N42" s="4">
        <v>2800</v>
      </c>
      <c r="O42" s="4">
        <v>0</v>
      </c>
      <c r="P42" s="4">
        <v>0</v>
      </c>
      <c r="Q42" s="4">
        <v>0</v>
      </c>
      <c r="R42" s="5">
        <f>SUM(I42:Q42)</f>
      </c>
      <c r="S42" s="6">
        <v>0</v>
      </c>
      <c r="T42" s="7">
        <f>R42-S42</f>
      </c>
      <c r="U42" s="3" t="s">
        <v>37</v>
      </c>
      <c r="V42" s="3" t="s">
        <v>38</v>
      </c>
      <c r="W42" s="3" t="s">
        <v>196</v>
      </c>
      <c r="X42" s="3" t="s">
        <v>40</v>
      </c>
      <c r="Y42" s="3" t="s">
        <v>41</v>
      </c>
      <c r="Z42" s="3" t="s">
        <v>37</v>
      </c>
      <c r="AA42" s="3" t="s">
        <v>42</v>
      </c>
      <c r="AB42" s="3" t="s">
        <v>43</v>
      </c>
      <c r="AC42" s="4">
        <v>15849.5</v>
      </c>
      <c r="AD42" s="8">
        <f>AC42-R42</f>
      </c>
    </row>
    <row r="43" ht="20" customHeight="1" spans="1:30" x14ac:dyDescent="0.25">
      <c r="A43" s="2">
        <v>42</v>
      </c>
      <c r="B43" s="3" t="s">
        <v>30</v>
      </c>
      <c r="C43" s="3" t="s">
        <v>31</v>
      </c>
      <c r="D43" s="2" t="s">
        <v>197</v>
      </c>
      <c r="E43" s="2" t="s">
        <v>33</v>
      </c>
      <c r="F43" s="3" t="s">
        <v>136</v>
      </c>
      <c r="G43" s="3" t="s">
        <v>61</v>
      </c>
      <c r="H43" s="3" t="s">
        <v>198</v>
      </c>
      <c r="I43" s="4">
        <f>(510.00*4.5)+(0.00*9)</f>
      </c>
      <c r="J43" s="4">
        <f>170.00+2000.00</f>
      </c>
      <c r="K43" s="4">
        <v>3250</v>
      </c>
      <c r="L43" s="4">
        <v>0</v>
      </c>
      <c r="M43" s="4">
        <v>0</v>
      </c>
      <c r="N43" s="4">
        <v>2594</v>
      </c>
      <c r="O43" s="4">
        <v>0</v>
      </c>
      <c r="P43" s="4">
        <v>0</v>
      </c>
      <c r="Q43" s="4">
        <v>0</v>
      </c>
      <c r="R43" s="5">
        <f>SUM(I43:Q43)</f>
      </c>
      <c r="S43" s="6">
        <v>0</v>
      </c>
      <c r="T43" s="7">
        <f>R43-S43</f>
      </c>
      <c r="U43" s="3" t="s">
        <v>37</v>
      </c>
      <c r="V43" s="3" t="s">
        <v>38</v>
      </c>
      <c r="W43" s="3" t="s">
        <v>199</v>
      </c>
      <c r="X43" s="3" t="s">
        <v>40</v>
      </c>
      <c r="Y43" s="3" t="s">
        <v>41</v>
      </c>
      <c r="Z43" s="3" t="s">
        <v>37</v>
      </c>
      <c r="AA43" s="3" t="s">
        <v>96</v>
      </c>
      <c r="AB43" s="3" t="s">
        <v>43</v>
      </c>
      <c r="AC43" s="4">
        <v>10603.5</v>
      </c>
      <c r="AD43" s="8">
        <f>AC43-R43</f>
      </c>
    </row>
    <row r="44" ht="20" customHeight="1" spans="1:30" x14ac:dyDescent="0.25">
      <c r="A44" s="2">
        <v>43</v>
      </c>
      <c r="B44" s="3" t="s">
        <v>30</v>
      </c>
      <c r="C44" s="3" t="s">
        <v>31</v>
      </c>
      <c r="D44" s="2" t="s">
        <v>200</v>
      </c>
      <c r="E44" s="2" t="s">
        <v>59</v>
      </c>
      <c r="F44" s="3" t="s">
        <v>60</v>
      </c>
      <c r="G44" s="3" t="s">
        <v>47</v>
      </c>
      <c r="H44" s="3" t="s">
        <v>201</v>
      </c>
      <c r="I44" s="4">
        <f>(948.00*4.5)+(0.00*9)</f>
      </c>
      <c r="J44" s="4">
        <f>220.00+1150.00</f>
      </c>
      <c r="K44" s="4">
        <v>2100</v>
      </c>
      <c r="L44" s="4">
        <v>220</v>
      </c>
      <c r="M44" s="4">
        <v>1140</v>
      </c>
      <c r="N44" s="4">
        <v>0</v>
      </c>
      <c r="O44" s="4">
        <v>0</v>
      </c>
      <c r="P44" s="4">
        <v>200</v>
      </c>
      <c r="Q44" s="4">
        <v>0</v>
      </c>
      <c r="R44" s="5">
        <f>SUM(I44:Q44)</f>
      </c>
      <c r="S44" s="6">
        <v>0</v>
      </c>
      <c r="T44" s="7">
        <f>R44-S44</f>
      </c>
      <c r="U44" s="3" t="s">
        <v>37</v>
      </c>
      <c r="V44" s="3" t="s">
        <v>38</v>
      </c>
      <c r="W44" s="3" t="s">
        <v>202</v>
      </c>
      <c r="X44" s="3" t="s">
        <v>40</v>
      </c>
      <c r="Y44" s="3" t="s">
        <v>41</v>
      </c>
      <c r="Z44" s="3" t="s">
        <v>37</v>
      </c>
      <c r="AA44" s="3" t="s">
        <v>203</v>
      </c>
      <c r="AB44" s="3" t="s">
        <v>43</v>
      </c>
      <c r="AC44" s="4">
        <v>10476</v>
      </c>
      <c r="AD44" s="8">
        <f>AC44-R44</f>
      </c>
    </row>
    <row r="45" ht="20" customHeight="1" spans="1:30" x14ac:dyDescent="0.25">
      <c r="A45" s="2">
        <v>44</v>
      </c>
      <c r="B45" s="3" t="s">
        <v>30</v>
      </c>
      <c r="C45" s="3" t="s">
        <v>31</v>
      </c>
      <c r="D45" s="2" t="s">
        <v>204</v>
      </c>
      <c r="E45" s="2" t="s">
        <v>33</v>
      </c>
      <c r="F45" s="3" t="s">
        <v>119</v>
      </c>
      <c r="G45" s="3" t="s">
        <v>35</v>
      </c>
      <c r="H45" s="3" t="s">
        <v>205</v>
      </c>
      <c r="I45" s="4">
        <f>(1733.00*4.5)+(0.00*9)</f>
      </c>
      <c r="J45" s="4">
        <f>150.00+1540.00</f>
      </c>
      <c r="K45" s="4">
        <v>3150</v>
      </c>
      <c r="L45" s="4">
        <v>130</v>
      </c>
      <c r="M45" s="4">
        <v>150</v>
      </c>
      <c r="N45" s="4">
        <v>0</v>
      </c>
      <c r="O45" s="4">
        <v>0</v>
      </c>
      <c r="P45" s="4">
        <v>0</v>
      </c>
      <c r="Q45" s="4">
        <v>0</v>
      </c>
      <c r="R45" s="5">
        <f>SUM(I45:Q45)</f>
      </c>
      <c r="S45" s="6">
        <v>0</v>
      </c>
      <c r="T45" s="7">
        <f>R45-S45</f>
      </c>
      <c r="U45" s="3" t="s">
        <v>37</v>
      </c>
      <c r="V45" s="3" t="s">
        <v>38</v>
      </c>
      <c r="W45" s="3" t="s">
        <v>206</v>
      </c>
      <c r="X45" s="3" t="s">
        <v>40</v>
      </c>
      <c r="Y45" s="3" t="s">
        <v>41</v>
      </c>
      <c r="Z45" s="3" t="s">
        <v>37</v>
      </c>
      <c r="AA45" s="3" t="s">
        <v>207</v>
      </c>
      <c r="AB45" s="3" t="s">
        <v>43</v>
      </c>
      <c r="AC45" s="4">
        <v>13218.5</v>
      </c>
      <c r="AD45" s="8">
        <f>AC45-R45</f>
      </c>
    </row>
    <row r="46" ht="20" customHeight="1" spans="1:30" x14ac:dyDescent="0.25">
      <c r="A46" s="2">
        <v>45</v>
      </c>
      <c r="B46" s="3" t="s">
        <v>30</v>
      </c>
      <c r="C46" s="3" t="s">
        <v>31</v>
      </c>
      <c r="D46" s="2" t="s">
        <v>208</v>
      </c>
      <c r="E46" s="2" t="s">
        <v>33</v>
      </c>
      <c r="F46" s="3" t="s">
        <v>209</v>
      </c>
      <c r="G46" s="3" t="s">
        <v>54</v>
      </c>
      <c r="H46" s="3" t="s">
        <v>210</v>
      </c>
      <c r="I46" s="4">
        <f>(2104.00*4.5)+(0.00*9)</f>
      </c>
      <c r="J46" s="4">
        <f>230.00+1960.00</f>
      </c>
      <c r="K46" s="4">
        <v>3450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5">
        <f>SUM(I46:Q46)</f>
      </c>
      <c r="S46" s="6">
        <v>0</v>
      </c>
      <c r="T46" s="7">
        <f>R46-S46</f>
      </c>
      <c r="U46" s="3" t="s">
        <v>37</v>
      </c>
      <c r="V46" s="3" t="s">
        <v>38</v>
      </c>
      <c r="W46" s="3" t="s">
        <v>211</v>
      </c>
      <c r="X46" s="3" t="s">
        <v>40</v>
      </c>
      <c r="Y46" s="3" t="s">
        <v>41</v>
      </c>
      <c r="Z46" s="3" t="s">
        <v>37</v>
      </c>
      <c r="AA46" s="3" t="s">
        <v>179</v>
      </c>
      <c r="AB46" s="3" t="s">
        <v>43</v>
      </c>
      <c r="AC46" s="4">
        <v>15259</v>
      </c>
      <c r="AD46" s="8">
        <f>AC46-R46</f>
      </c>
    </row>
    <row r="47" ht="20" customHeight="1" spans="1:30" x14ac:dyDescent="0.25">
      <c r="A47" s="2">
        <v>46</v>
      </c>
      <c r="B47" s="3" t="s">
        <v>30</v>
      </c>
      <c r="C47" s="3" t="s">
        <v>31</v>
      </c>
      <c r="D47" s="2" t="s">
        <v>212</v>
      </c>
      <c r="E47" s="2" t="s">
        <v>52</v>
      </c>
      <c r="F47" s="3" t="s">
        <v>160</v>
      </c>
      <c r="G47" s="3" t="s">
        <v>35</v>
      </c>
      <c r="H47" s="3" t="s">
        <v>213</v>
      </c>
      <c r="I47" s="4">
        <f>(2737.00*4.5)+(0.00*9)</f>
      </c>
      <c r="J47" s="4">
        <f>0.00+0.00</f>
      </c>
      <c r="K47" s="4">
        <v>5600</v>
      </c>
      <c r="L47" s="4">
        <v>0</v>
      </c>
      <c r="M47" s="4">
        <v>0</v>
      </c>
      <c r="N47" s="4">
        <v>9900</v>
      </c>
      <c r="O47" s="4">
        <v>0</v>
      </c>
      <c r="P47" s="4">
        <v>0</v>
      </c>
      <c r="Q47" s="4">
        <v>0</v>
      </c>
      <c r="R47" s="5">
        <f>SUM(I47:Q47)</f>
      </c>
      <c r="S47" s="6">
        <v>0</v>
      </c>
      <c r="T47" s="7">
        <f>R47-S47</f>
      </c>
      <c r="U47" s="3" t="s">
        <v>37</v>
      </c>
      <c r="V47" s="3" t="s">
        <v>38</v>
      </c>
      <c r="W47" s="3" t="s">
        <v>214</v>
      </c>
      <c r="X47" s="3" t="s">
        <v>40</v>
      </c>
      <c r="Y47" s="3" t="s">
        <v>41</v>
      </c>
      <c r="Z47" s="3" t="s">
        <v>37</v>
      </c>
      <c r="AA47" s="3" t="s">
        <v>156</v>
      </c>
      <c r="AB47" s="3" t="s">
        <v>43</v>
      </c>
      <c r="AC47" s="4">
        <v>30042</v>
      </c>
      <c r="AD47" s="8">
        <f>AC47-R47</f>
      </c>
    </row>
    <row r="48" ht="20" customHeight="1" spans="1:30" x14ac:dyDescent="0.25">
      <c r="A48" s="2">
        <v>47</v>
      </c>
      <c r="B48" s="3" t="s">
        <v>30</v>
      </c>
      <c r="C48" s="3" t="s">
        <v>31</v>
      </c>
      <c r="D48" s="2" t="s">
        <v>215</v>
      </c>
      <c r="E48" s="2" t="s">
        <v>66</v>
      </c>
      <c r="F48" s="3" t="s">
        <v>216</v>
      </c>
      <c r="G48" s="3" t="s">
        <v>47</v>
      </c>
      <c r="H48" s="3" t="s">
        <v>217</v>
      </c>
      <c r="I48" s="4">
        <f>(0.00*4.5)+(0.00*9)</f>
      </c>
      <c r="J48" s="4">
        <f>300.00+633.00</f>
      </c>
      <c r="K48" s="4">
        <v>5550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5">
        <f>SUM(I48:Q48)</f>
      </c>
      <c r="S48" s="6">
        <v>0</v>
      </c>
      <c r="T48" s="7">
        <f>R48-S48</f>
      </c>
      <c r="U48" s="3" t="s">
        <v>37</v>
      </c>
      <c r="V48" s="3" t="s">
        <v>38</v>
      </c>
      <c r="W48" s="3" t="s">
        <v>218</v>
      </c>
      <c r="X48" s="3" t="s">
        <v>40</v>
      </c>
      <c r="Y48" s="3" t="s">
        <v>41</v>
      </c>
      <c r="Z48" s="3" t="s">
        <v>37</v>
      </c>
      <c r="AA48" s="3" t="s">
        <v>50</v>
      </c>
      <c r="AB48" s="3" t="s">
        <v>43</v>
      </c>
      <c r="AC48" s="4">
        <v>6883</v>
      </c>
      <c r="AD48" s="8">
        <f>AC48-R48</f>
      </c>
    </row>
    <row r="49" ht="20" customHeight="1" spans="1:30" x14ac:dyDescent="0.25">
      <c r="A49" s="2">
        <v>48</v>
      </c>
      <c r="B49" s="3" t="s">
        <v>30</v>
      </c>
      <c r="C49" s="3" t="s">
        <v>31</v>
      </c>
      <c r="D49" s="2" t="s">
        <v>219</v>
      </c>
      <c r="E49" s="2" t="s">
        <v>59</v>
      </c>
      <c r="F49" s="3" t="s">
        <v>81</v>
      </c>
      <c r="G49" s="3" t="s">
        <v>54</v>
      </c>
      <c r="H49" s="3" t="s">
        <v>220</v>
      </c>
      <c r="I49" s="4">
        <f>(576.00*4.5)+(0.00*9)</f>
      </c>
      <c r="J49" s="4">
        <f>0.00+0.00</f>
      </c>
      <c r="K49" s="4">
        <v>1050</v>
      </c>
      <c r="L49" s="4">
        <v>3452</v>
      </c>
      <c r="M49" s="4">
        <v>300</v>
      </c>
      <c r="N49" s="4">
        <v>0</v>
      </c>
      <c r="O49" s="4">
        <v>0</v>
      </c>
      <c r="P49" s="4">
        <v>0</v>
      </c>
      <c r="Q49" s="4">
        <v>0</v>
      </c>
      <c r="R49" s="5">
        <f>SUM(I49:Q49)</f>
      </c>
      <c r="S49" s="6">
        <v>0</v>
      </c>
      <c r="T49" s="7">
        <f>R49-S49</f>
      </c>
      <c r="U49" s="3" t="s">
        <v>37</v>
      </c>
      <c r="V49" s="3" t="s">
        <v>38</v>
      </c>
      <c r="W49" s="3" t="s">
        <v>221</v>
      </c>
      <c r="X49" s="3" t="s">
        <v>40</v>
      </c>
      <c r="Y49" s="3" t="s">
        <v>41</v>
      </c>
      <c r="Z49" s="3" t="s">
        <v>37</v>
      </c>
      <c r="AA49" s="3" t="s">
        <v>222</v>
      </c>
      <c r="AB49" s="3" t="s">
        <v>43</v>
      </c>
      <c r="AC49" s="4">
        <v>10162</v>
      </c>
      <c r="AD49" s="8">
        <f>AC49-R49</f>
      </c>
    </row>
    <row r="50" ht="20" customHeight="1" spans="1:30" x14ac:dyDescent="0.25">
      <c r="A50" s="2">
        <v>49</v>
      </c>
      <c r="B50" s="3" t="s">
        <v>30</v>
      </c>
      <c r="C50" s="3" t="s">
        <v>31</v>
      </c>
      <c r="D50" s="2" t="s">
        <v>223</v>
      </c>
      <c r="E50" s="2" t="s">
        <v>45</v>
      </c>
      <c r="F50" s="3" t="s">
        <v>46</v>
      </c>
      <c r="G50" s="3" t="s">
        <v>35</v>
      </c>
      <c r="H50" s="3" t="s">
        <v>207</v>
      </c>
      <c r="I50" s="4">
        <f>(0.00*4.5)+(0.00*9)</f>
      </c>
      <c r="J50" s="4">
        <f>200.00+1920.00</f>
      </c>
      <c r="K50" s="4">
        <v>300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5">
        <f>SUM(I50:Q50)</f>
      </c>
      <c r="S50" s="6">
        <v>0</v>
      </c>
      <c r="T50" s="7">
        <f>R50-S50</f>
      </c>
      <c r="U50" s="3" t="s">
        <v>37</v>
      </c>
      <c r="V50" s="3" t="s">
        <v>38</v>
      </c>
      <c r="W50" s="3" t="s">
        <v>37</v>
      </c>
      <c r="X50" s="3" t="s">
        <v>40</v>
      </c>
      <c r="Y50" s="3" t="s">
        <v>41</v>
      </c>
      <c r="Z50" s="3" t="s">
        <v>37</v>
      </c>
      <c r="AA50" s="3" t="s">
        <v>42</v>
      </c>
      <c r="AB50" s="3" t="s">
        <v>43</v>
      </c>
      <c r="AC50" s="4">
        <v>2420</v>
      </c>
      <c r="AD50" s="8">
        <f>AC50-R50</f>
      </c>
    </row>
    <row r="51" ht="20" customHeight="1" spans="1:30" x14ac:dyDescent="0.25">
      <c r="A51" s="2">
        <v>50</v>
      </c>
      <c r="B51" s="3" t="s">
        <v>30</v>
      </c>
      <c r="C51" s="3" t="s">
        <v>31</v>
      </c>
      <c r="D51" s="2" t="s">
        <v>224</v>
      </c>
      <c r="E51" s="2" t="s">
        <v>52</v>
      </c>
      <c r="F51" s="3" t="s">
        <v>53</v>
      </c>
      <c r="G51" s="3" t="s">
        <v>61</v>
      </c>
      <c r="H51" s="3" t="s">
        <v>225</v>
      </c>
      <c r="I51" s="4">
        <f>(1940.00*4.5)+(0.00*9)</f>
      </c>
      <c r="J51" s="4">
        <f>560.00+2500.00</f>
      </c>
      <c r="K51" s="4">
        <v>3300</v>
      </c>
      <c r="L51" s="4">
        <v>0</v>
      </c>
      <c r="M51" s="4">
        <v>0</v>
      </c>
      <c r="N51" s="4">
        <v>2</v>
      </c>
      <c r="O51" s="4">
        <v>0</v>
      </c>
      <c r="P51" s="4">
        <v>0</v>
      </c>
      <c r="Q51" s="4">
        <v>0</v>
      </c>
      <c r="R51" s="5">
        <f>SUM(I51:Q51)</f>
      </c>
      <c r="S51" s="6">
        <v>0</v>
      </c>
      <c r="T51" s="7">
        <f>R51-S51</f>
      </c>
      <c r="U51" s="3" t="s">
        <v>37</v>
      </c>
      <c r="V51" s="3" t="s">
        <v>38</v>
      </c>
      <c r="W51" s="3" t="s">
        <v>226</v>
      </c>
      <c r="X51" s="3" t="s">
        <v>40</v>
      </c>
      <c r="Y51" s="3" t="s">
        <v>41</v>
      </c>
      <c r="Z51" s="3" t="s">
        <v>37</v>
      </c>
      <c r="AA51" s="3" t="s">
        <v>103</v>
      </c>
      <c r="AB51" s="3" t="s">
        <v>43</v>
      </c>
      <c r="AC51" s="4">
        <v>15092</v>
      </c>
      <c r="AD51" s="8">
        <f>AC51-R51</f>
      </c>
    </row>
    <row r="52" ht="20" customHeight="1" spans="1:30" x14ac:dyDescent="0.25">
      <c r="A52" s="2">
        <v>51</v>
      </c>
      <c r="B52" s="3" t="s">
        <v>30</v>
      </c>
      <c r="C52" s="3" t="s">
        <v>31</v>
      </c>
      <c r="D52" s="2" t="s">
        <v>227</v>
      </c>
      <c r="E52" s="2" t="s">
        <v>52</v>
      </c>
      <c r="F52" s="3" t="s">
        <v>53</v>
      </c>
      <c r="G52" s="3" t="s">
        <v>35</v>
      </c>
      <c r="H52" s="3" t="s">
        <v>228</v>
      </c>
      <c r="I52" s="4">
        <f>(100.00*4.5)+(0.00*9)</f>
      </c>
      <c r="J52" s="4">
        <f>500.00+1700.00</f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5">
        <f>SUM(I52:Q52)</f>
      </c>
      <c r="S52" s="6">
        <v>0</v>
      </c>
      <c r="T52" s="7">
        <f>R52-S52</f>
      </c>
      <c r="U52" s="3" t="s">
        <v>37</v>
      </c>
      <c r="V52" s="3" t="s">
        <v>38</v>
      </c>
      <c r="W52" s="3" t="s">
        <v>229</v>
      </c>
      <c r="X52" s="3" t="s">
        <v>40</v>
      </c>
      <c r="Y52" s="3" t="s">
        <v>41</v>
      </c>
      <c r="Z52" s="3" t="s">
        <v>37</v>
      </c>
      <c r="AA52" s="3" t="s">
        <v>230</v>
      </c>
      <c r="AB52" s="3" t="s">
        <v>43</v>
      </c>
      <c r="AC52" s="4">
        <v>3400</v>
      </c>
      <c r="AD52" s="8">
        <f>AC52-R52</f>
      </c>
    </row>
    <row r="53" ht="20" customHeight="1" spans="1:30" x14ac:dyDescent="0.25">
      <c r="A53" s="2">
        <v>52</v>
      </c>
      <c r="B53" s="3" t="s">
        <v>30</v>
      </c>
      <c r="C53" s="3" t="s">
        <v>31</v>
      </c>
      <c r="D53" s="2" t="s">
        <v>231</v>
      </c>
      <c r="E53" s="2" t="s">
        <v>45</v>
      </c>
      <c r="F53" s="3" t="s">
        <v>46</v>
      </c>
      <c r="G53" s="3" t="s">
        <v>54</v>
      </c>
      <c r="H53" s="3" t="s">
        <v>179</v>
      </c>
      <c r="I53" s="4">
        <f>(1955.00*4.5)+(0.00*9)</f>
      </c>
      <c r="J53" s="4">
        <f>400.00+500.00</f>
      </c>
      <c r="K53" s="4">
        <v>2650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5">
        <f>SUM(I53:Q53)</f>
      </c>
      <c r="S53" s="6">
        <v>0</v>
      </c>
      <c r="T53" s="7">
        <f>R53-S53</f>
      </c>
      <c r="U53" s="3" t="s">
        <v>37</v>
      </c>
      <c r="V53" s="3" t="s">
        <v>38</v>
      </c>
      <c r="W53" s="3" t="s">
        <v>232</v>
      </c>
      <c r="X53" s="3" t="s">
        <v>40</v>
      </c>
      <c r="Y53" s="3" t="s">
        <v>41</v>
      </c>
      <c r="Z53" s="3" t="s">
        <v>37</v>
      </c>
      <c r="AA53" s="3" t="s">
        <v>74</v>
      </c>
      <c r="AB53" s="3" t="s">
        <v>43</v>
      </c>
      <c r="AC53" s="4">
        <v>12347.5</v>
      </c>
      <c r="AD53" s="8">
        <f>AC53-R53</f>
      </c>
    </row>
    <row r="54" ht="20" customHeight="1" spans="1:30" x14ac:dyDescent="0.25">
      <c r="A54" s="2">
        <v>53</v>
      </c>
      <c r="B54" s="3" t="s">
        <v>30</v>
      </c>
      <c r="C54" s="3" t="s">
        <v>31</v>
      </c>
      <c r="D54" s="2" t="s">
        <v>233</v>
      </c>
      <c r="E54" s="2" t="s">
        <v>33</v>
      </c>
      <c r="F54" s="3" t="s">
        <v>234</v>
      </c>
      <c r="G54" s="3" t="s">
        <v>54</v>
      </c>
      <c r="H54" s="3" t="s">
        <v>235</v>
      </c>
      <c r="I54" s="4">
        <f>(1422.22*4.5)+(0.00*9)</f>
      </c>
      <c r="J54" s="4">
        <f>0.00+0.00</f>
      </c>
      <c r="K54" s="4">
        <v>1450</v>
      </c>
      <c r="L54" s="4">
        <v>0</v>
      </c>
      <c r="M54" s="4">
        <v>0</v>
      </c>
      <c r="N54" s="4">
        <v>3000</v>
      </c>
      <c r="O54" s="4">
        <v>0</v>
      </c>
      <c r="P54" s="4">
        <v>0</v>
      </c>
      <c r="Q54" s="4">
        <v>0</v>
      </c>
      <c r="R54" s="5">
        <f>SUM(I54:Q54)</f>
      </c>
      <c r="S54" s="6">
        <v>0</v>
      </c>
      <c r="T54" s="7">
        <f>R54-S54</f>
      </c>
      <c r="U54" s="3" t="s">
        <v>37</v>
      </c>
      <c r="V54" s="3" t="s">
        <v>38</v>
      </c>
      <c r="W54" s="3" t="s">
        <v>37</v>
      </c>
      <c r="X54" s="3" t="s">
        <v>40</v>
      </c>
      <c r="Y54" s="3" t="s">
        <v>41</v>
      </c>
      <c r="Z54" s="3" t="s">
        <v>37</v>
      </c>
      <c r="AA54" s="3" t="s">
        <v>236</v>
      </c>
      <c r="AB54" s="3" t="s">
        <v>43</v>
      </c>
      <c r="AC54" s="4">
        <v>10850</v>
      </c>
      <c r="AD54" s="8">
        <f>AC54-R54</f>
      </c>
    </row>
    <row r="55" ht="20" customHeight="1" spans="1:30" x14ac:dyDescent="0.25">
      <c r="A55" s="2">
        <v>54</v>
      </c>
      <c r="B55" s="3" t="s">
        <v>30</v>
      </c>
      <c r="C55" s="3" t="s">
        <v>31</v>
      </c>
      <c r="D55" s="2" t="s">
        <v>237</v>
      </c>
      <c r="E55" s="2" t="s">
        <v>52</v>
      </c>
      <c r="F55" s="3" t="s">
        <v>238</v>
      </c>
      <c r="G55" s="3" t="s">
        <v>61</v>
      </c>
      <c r="H55" s="3" t="s">
        <v>239</v>
      </c>
      <c r="I55" s="4">
        <f>(0.00*4.5)+(0.00*9)</f>
      </c>
      <c r="J55" s="4">
        <f>0.00+0.00</f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5">
        <f>SUM(I55:Q55)</f>
      </c>
      <c r="S55" s="6">
        <v>0</v>
      </c>
      <c r="T55" s="7">
        <f>R55-S55</f>
      </c>
      <c r="U55" s="3" t="s">
        <v>37</v>
      </c>
      <c r="V55" s="3" t="s">
        <v>38</v>
      </c>
      <c r="W55" s="3" t="s">
        <v>37</v>
      </c>
      <c r="X55" s="3" t="s">
        <v>40</v>
      </c>
      <c r="Y55" s="3" t="s">
        <v>41</v>
      </c>
      <c r="Z55" s="3" t="s">
        <v>37</v>
      </c>
      <c r="AA55" s="3" t="s">
        <v>236</v>
      </c>
      <c r="AB55" s="3" t="s">
        <v>43</v>
      </c>
      <c r="AC55" s="4">
        <v>0</v>
      </c>
      <c r="AD55" s="8">
        <f>AC55-R55</f>
      </c>
    </row>
    <row r="56" ht="20" customHeight="1" spans="1:30" x14ac:dyDescent="0.25">
      <c r="A56" s="2">
        <v>55</v>
      </c>
      <c r="B56" s="3" t="s">
        <v>30</v>
      </c>
      <c r="C56" s="3" t="s">
        <v>31</v>
      </c>
      <c r="D56" s="2" t="s">
        <v>240</v>
      </c>
      <c r="E56" s="2" t="s">
        <v>59</v>
      </c>
      <c r="F56" s="3" t="s">
        <v>81</v>
      </c>
      <c r="G56" s="3" t="s">
        <v>61</v>
      </c>
      <c r="H56" s="3" t="s">
        <v>241</v>
      </c>
      <c r="I56" s="4">
        <f>(2203.00*4.5)+(0.00*9)</f>
      </c>
      <c r="J56" s="4">
        <f>325.00+1417.50</f>
      </c>
      <c r="K56" s="4">
        <v>2850</v>
      </c>
      <c r="L56" s="4">
        <v>150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5">
        <f>SUM(I56:Q56)</f>
      </c>
      <c r="S56" s="6">
        <v>0</v>
      </c>
      <c r="T56" s="7">
        <f>R56-S56</f>
      </c>
      <c r="U56" s="3" t="s">
        <v>37</v>
      </c>
      <c r="V56" s="3" t="s">
        <v>38</v>
      </c>
      <c r="W56" s="3" t="s">
        <v>242</v>
      </c>
      <c r="X56" s="3" t="s">
        <v>40</v>
      </c>
      <c r="Y56" s="3" t="s">
        <v>41</v>
      </c>
      <c r="Z56" s="3" t="s">
        <v>37</v>
      </c>
      <c r="AA56" s="3" t="s">
        <v>69</v>
      </c>
      <c r="AB56" s="3" t="s">
        <v>43</v>
      </c>
      <c r="AC56" s="4">
        <v>15471</v>
      </c>
      <c r="AD56" s="8">
        <f>AC56-R56</f>
      </c>
    </row>
    <row r="57" ht="20" customHeight="1" spans="1:30" x14ac:dyDescent="0.25">
      <c r="A57" s="2">
        <v>56</v>
      </c>
      <c r="B57" s="3" t="s">
        <v>30</v>
      </c>
      <c r="C57" s="3" t="s">
        <v>31</v>
      </c>
      <c r="D57" s="2" t="s">
        <v>243</v>
      </c>
      <c r="E57" s="2" t="s">
        <v>66</v>
      </c>
      <c r="F57" s="3" t="s">
        <v>136</v>
      </c>
      <c r="G57" s="3" t="s">
        <v>47</v>
      </c>
      <c r="H57" s="3" t="s">
        <v>244</v>
      </c>
      <c r="I57" s="4">
        <f>(1866.00*4.5)+(0.00*9)</f>
      </c>
      <c r="J57" s="4">
        <f>600.00+6410.00</f>
      </c>
      <c r="K57" s="4">
        <v>4400</v>
      </c>
      <c r="L57" s="4">
        <v>0</v>
      </c>
      <c r="M57" s="4">
        <v>0</v>
      </c>
      <c r="N57" s="4">
        <v>5600</v>
      </c>
      <c r="O57" s="4">
        <v>0</v>
      </c>
      <c r="P57" s="4">
        <v>0</v>
      </c>
      <c r="Q57" s="4">
        <v>0</v>
      </c>
      <c r="R57" s="5">
        <f>SUM(I57:Q57)</f>
      </c>
      <c r="S57" s="6">
        <v>0</v>
      </c>
      <c r="T57" s="7">
        <f>R57-S57</f>
      </c>
      <c r="U57" s="3" t="s">
        <v>37</v>
      </c>
      <c r="V57" s="3" t="s">
        <v>38</v>
      </c>
      <c r="W57" s="3" t="s">
        <v>245</v>
      </c>
      <c r="X57" s="3" t="s">
        <v>40</v>
      </c>
      <c r="Y57" s="3" t="s">
        <v>41</v>
      </c>
      <c r="Z57" s="3" t="s">
        <v>37</v>
      </c>
      <c r="AA57" s="3" t="s">
        <v>203</v>
      </c>
      <c r="AB57" s="3" t="s">
        <v>43</v>
      </c>
      <c r="AC57" s="4">
        <v>26932</v>
      </c>
      <c r="AD57" s="8">
        <f>AC57-R57</f>
      </c>
    </row>
    <row r="58" ht="20" customHeight="1" spans="1:30" x14ac:dyDescent="0.25">
      <c r="A58" s="2">
        <v>57</v>
      </c>
      <c r="B58" s="3" t="s">
        <v>30</v>
      </c>
      <c r="C58" s="3" t="s">
        <v>31</v>
      </c>
      <c r="D58" s="2" t="s">
        <v>246</v>
      </c>
      <c r="E58" s="2" t="s">
        <v>33</v>
      </c>
      <c r="F58" s="3" t="s">
        <v>119</v>
      </c>
      <c r="G58" s="3" t="s">
        <v>54</v>
      </c>
      <c r="H58" s="3" t="s">
        <v>247</v>
      </c>
      <c r="I58" s="4">
        <f>(785.00*4.5)+(0.00*9)</f>
      </c>
      <c r="J58" s="4">
        <f>0.00+0.00</f>
      </c>
      <c r="K58" s="4">
        <v>3000</v>
      </c>
      <c r="L58" s="4">
        <v>1835</v>
      </c>
      <c r="M58" s="4">
        <v>0</v>
      </c>
      <c r="N58" s="4">
        <v>0</v>
      </c>
      <c r="O58" s="4">
        <v>75</v>
      </c>
      <c r="P58" s="4">
        <v>0</v>
      </c>
      <c r="Q58" s="4">
        <v>0</v>
      </c>
      <c r="R58" s="5">
        <f>SUM(I58:Q58)</f>
      </c>
      <c r="S58" s="6">
        <v>0</v>
      </c>
      <c r="T58" s="7">
        <f>R58-S58</f>
      </c>
      <c r="U58" s="3" t="s">
        <v>37</v>
      </c>
      <c r="V58" s="3" t="s">
        <v>38</v>
      </c>
      <c r="W58" s="3" t="s">
        <v>248</v>
      </c>
      <c r="X58" s="3" t="s">
        <v>40</v>
      </c>
      <c r="Y58" s="3" t="s">
        <v>41</v>
      </c>
      <c r="Z58" s="3" t="s">
        <v>37</v>
      </c>
      <c r="AA58" s="3" t="s">
        <v>249</v>
      </c>
      <c r="AB58" s="3" t="s">
        <v>43</v>
      </c>
      <c r="AC58" s="4">
        <v>9804.5</v>
      </c>
      <c r="AD58" s="8">
        <f>AC58-R58</f>
      </c>
    </row>
    <row r="59" ht="20" customHeight="1" spans="1:30" x14ac:dyDescent="0.25">
      <c r="A59" s="2">
        <v>58</v>
      </c>
      <c r="B59" s="3" t="s">
        <v>30</v>
      </c>
      <c r="C59" s="3" t="s">
        <v>31</v>
      </c>
      <c r="D59" s="2" t="s">
        <v>250</v>
      </c>
      <c r="E59" s="2" t="s">
        <v>45</v>
      </c>
      <c r="F59" s="3" t="s">
        <v>46</v>
      </c>
      <c r="G59" s="3" t="s">
        <v>47</v>
      </c>
      <c r="H59" s="3" t="s">
        <v>203</v>
      </c>
      <c r="I59" s="4">
        <f>(1328.00*4.5)+(0.00*9)</f>
      </c>
      <c r="J59" s="4">
        <f>0.00+0.00</f>
      </c>
      <c r="K59" s="4">
        <v>2400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5">
        <f>SUM(I59:Q59)</f>
      </c>
      <c r="S59" s="6">
        <v>0</v>
      </c>
      <c r="T59" s="7">
        <f>R59-S59</f>
      </c>
      <c r="U59" s="3" t="s">
        <v>37</v>
      </c>
      <c r="V59" s="3" t="s">
        <v>38</v>
      </c>
      <c r="W59" s="3" t="s">
        <v>251</v>
      </c>
      <c r="X59" s="3" t="s">
        <v>40</v>
      </c>
      <c r="Y59" s="3" t="s">
        <v>41</v>
      </c>
      <c r="Z59" s="3" t="s">
        <v>37</v>
      </c>
      <c r="AA59" s="3" t="s">
        <v>50</v>
      </c>
      <c r="AB59" s="3" t="s">
        <v>43</v>
      </c>
      <c r="AC59" s="4">
        <v>9576</v>
      </c>
      <c r="AD59" s="8">
        <f>AC59-R59</f>
      </c>
    </row>
    <row r="60" ht="20" customHeight="1" spans="1:30" x14ac:dyDescent="0.25">
      <c r="A60" s="2">
        <v>59</v>
      </c>
      <c r="B60" s="3" t="s">
        <v>30</v>
      </c>
      <c r="C60" s="3" t="s">
        <v>31</v>
      </c>
      <c r="D60" s="2" t="s">
        <v>252</v>
      </c>
      <c r="E60" s="2" t="s">
        <v>33</v>
      </c>
      <c r="F60" s="3" t="s">
        <v>53</v>
      </c>
      <c r="G60" s="3" t="s">
        <v>61</v>
      </c>
      <c r="H60" s="3" t="s">
        <v>253</v>
      </c>
      <c r="I60" s="4">
        <f>(2046.00*4.5)+(0.00*9)</f>
      </c>
      <c r="J60" s="4">
        <f>380.00+1700.00</f>
      </c>
      <c r="K60" s="4">
        <v>3300</v>
      </c>
      <c r="L60" s="4">
        <v>0</v>
      </c>
      <c r="M60" s="4">
        <v>0</v>
      </c>
      <c r="N60" s="4">
        <v>2</v>
      </c>
      <c r="O60" s="4">
        <v>0</v>
      </c>
      <c r="P60" s="4">
        <v>0</v>
      </c>
      <c r="Q60" s="4">
        <v>0</v>
      </c>
      <c r="R60" s="5">
        <f>SUM(I60:Q60)</f>
      </c>
      <c r="S60" s="6">
        <v>0</v>
      </c>
      <c r="T60" s="7">
        <f>R60-S60</f>
      </c>
      <c r="U60" s="3" t="s">
        <v>37</v>
      </c>
      <c r="V60" s="3" t="s">
        <v>38</v>
      </c>
      <c r="W60" s="3" t="s">
        <v>254</v>
      </c>
      <c r="X60" s="3" t="s">
        <v>40</v>
      </c>
      <c r="Y60" s="3" t="s">
        <v>41</v>
      </c>
      <c r="Z60" s="3" t="s">
        <v>37</v>
      </c>
      <c r="AA60" s="3" t="s">
        <v>103</v>
      </c>
      <c r="AB60" s="3" t="s">
        <v>43</v>
      </c>
      <c r="AC60" s="4">
        <v>14589</v>
      </c>
      <c r="AD60" s="8">
        <f>AC60-R60</f>
      </c>
    </row>
    <row r="61" ht="20" customHeight="1" spans="1:30" x14ac:dyDescent="0.25">
      <c r="A61" s="2">
        <v>60</v>
      </c>
      <c r="B61" s="3" t="s">
        <v>30</v>
      </c>
      <c r="C61" s="3" t="s">
        <v>31</v>
      </c>
      <c r="D61" s="2" t="s">
        <v>255</v>
      </c>
      <c r="E61" s="2" t="s">
        <v>52</v>
      </c>
      <c r="F61" s="3" t="s">
        <v>53</v>
      </c>
      <c r="G61" s="3" t="s">
        <v>54</v>
      </c>
      <c r="H61" s="3" t="s">
        <v>256</v>
      </c>
      <c r="I61" s="4">
        <f>(1.00*4.5)+(0.00*9)</f>
      </c>
      <c r="J61" s="4">
        <f>0.00+0.00</f>
      </c>
      <c r="K61" s="4">
        <v>4200</v>
      </c>
      <c r="L61" s="4">
        <v>685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5">
        <f>SUM(I61:Q61)</f>
      </c>
      <c r="S61" s="6">
        <v>0</v>
      </c>
      <c r="T61" s="7">
        <f>R61-S61</f>
      </c>
      <c r="U61" s="3" t="s">
        <v>37</v>
      </c>
      <c r="V61" s="3" t="s">
        <v>38</v>
      </c>
      <c r="W61" s="3" t="s">
        <v>257</v>
      </c>
      <c r="X61" s="3" t="s">
        <v>40</v>
      </c>
      <c r="Y61" s="3" t="s">
        <v>41</v>
      </c>
      <c r="Z61" s="3" t="s">
        <v>37</v>
      </c>
      <c r="AA61" s="3" t="s">
        <v>258</v>
      </c>
      <c r="AB61" s="3" t="s">
        <v>43</v>
      </c>
      <c r="AC61" s="4">
        <v>5311</v>
      </c>
      <c r="AD61" s="8">
        <f>AC61-R61</f>
      </c>
    </row>
    <row r="62" ht="20" customHeight="1" spans="1:30" x14ac:dyDescent="0.25">
      <c r="A62" s="2">
        <v>61</v>
      </c>
      <c r="B62" s="3" t="s">
        <v>30</v>
      </c>
      <c r="C62" s="3" t="s">
        <v>31</v>
      </c>
      <c r="D62" s="2" t="s">
        <v>259</v>
      </c>
      <c r="E62" s="2" t="s">
        <v>52</v>
      </c>
      <c r="F62" s="3" t="s">
        <v>53</v>
      </c>
      <c r="G62" s="3" t="s">
        <v>35</v>
      </c>
      <c r="H62" s="3" t="s">
        <v>260</v>
      </c>
      <c r="I62" s="4">
        <f>(1538.00*4.5)+(0.00*9)</f>
      </c>
      <c r="J62" s="4">
        <f>0.00+0.00</f>
      </c>
      <c r="K62" s="4">
        <v>2550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5">
        <f>SUM(I62:Q62)</f>
      </c>
      <c r="S62" s="6">
        <v>0</v>
      </c>
      <c r="T62" s="7">
        <f>R62-S62</f>
      </c>
      <c r="U62" s="3" t="s">
        <v>37</v>
      </c>
      <c r="V62" s="3" t="s">
        <v>38</v>
      </c>
      <c r="W62" s="3" t="s">
        <v>261</v>
      </c>
      <c r="X62" s="3" t="s">
        <v>40</v>
      </c>
      <c r="Y62" s="3" t="s">
        <v>41</v>
      </c>
      <c r="Z62" s="3" t="s">
        <v>37</v>
      </c>
      <c r="AA62" s="3" t="s">
        <v>262</v>
      </c>
      <c r="AB62" s="3" t="s">
        <v>43</v>
      </c>
      <c r="AC62" s="4">
        <v>10116</v>
      </c>
      <c r="AD62" s="8">
        <f>AC62-R62</f>
      </c>
    </row>
    <row r="63" ht="20" customHeight="1" spans="1:30" x14ac:dyDescent="0.25">
      <c r="A63" s="2">
        <v>62</v>
      </c>
      <c r="B63" s="3" t="s">
        <v>30</v>
      </c>
      <c r="C63" s="3" t="s">
        <v>31</v>
      </c>
      <c r="D63" s="2" t="s">
        <v>263</v>
      </c>
      <c r="E63" s="2" t="s">
        <v>59</v>
      </c>
      <c r="F63" s="3" t="s">
        <v>81</v>
      </c>
      <c r="G63" s="3" t="s">
        <v>54</v>
      </c>
      <c r="H63" s="3" t="s">
        <v>264</v>
      </c>
      <c r="I63" s="4">
        <f>(160.00*4.5)+(0.00*9)</f>
      </c>
      <c r="J63" s="4">
        <f>0.00+0.00</f>
      </c>
      <c r="K63" s="4">
        <v>600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5">
        <f>SUM(I63:Q63)</f>
      </c>
      <c r="S63" s="6">
        <v>0</v>
      </c>
      <c r="T63" s="7">
        <f>R63-S63</f>
      </c>
      <c r="U63" s="3" t="s">
        <v>37</v>
      </c>
      <c r="V63" s="3" t="s">
        <v>38</v>
      </c>
      <c r="W63" s="3" t="s">
        <v>37</v>
      </c>
      <c r="X63" s="3" t="s">
        <v>40</v>
      </c>
      <c r="Y63" s="3" t="s">
        <v>41</v>
      </c>
      <c r="Z63" s="3" t="s">
        <v>37</v>
      </c>
      <c r="AA63" s="3" t="s">
        <v>265</v>
      </c>
      <c r="AB63" s="3" t="s">
        <v>43</v>
      </c>
      <c r="AC63" s="4">
        <v>1920</v>
      </c>
      <c r="AD63" s="8">
        <f>AC63-R63</f>
      </c>
    </row>
    <row r="64" ht="20" customHeight="1" spans="1:30" x14ac:dyDescent="0.25">
      <c r="A64" s="2">
        <v>63</v>
      </c>
      <c r="B64" s="3" t="s">
        <v>30</v>
      </c>
      <c r="C64" s="3" t="s">
        <v>31</v>
      </c>
      <c r="D64" s="2" t="s">
        <v>266</v>
      </c>
      <c r="E64" s="2" t="s">
        <v>33</v>
      </c>
      <c r="F64" s="3" t="s">
        <v>119</v>
      </c>
      <c r="G64" s="3" t="s">
        <v>54</v>
      </c>
      <c r="H64" s="3" t="s">
        <v>267</v>
      </c>
      <c r="I64" s="4">
        <f>(2760.00*4.5)+(0.00*9)</f>
      </c>
      <c r="J64" s="4">
        <f>0.00+0.00</f>
      </c>
      <c r="K64" s="4">
        <v>2400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5">
        <f>SUM(I64:Q64)</f>
      </c>
      <c r="S64" s="6">
        <v>0</v>
      </c>
      <c r="T64" s="7">
        <f>R64-S64</f>
      </c>
      <c r="U64" s="3" t="s">
        <v>37</v>
      </c>
      <c r="V64" s="3" t="s">
        <v>38</v>
      </c>
      <c r="W64" s="3" t="s">
        <v>268</v>
      </c>
      <c r="X64" s="3" t="s">
        <v>40</v>
      </c>
      <c r="Y64" s="3" t="s">
        <v>41</v>
      </c>
      <c r="Z64" s="3" t="s">
        <v>37</v>
      </c>
      <c r="AA64" s="3" t="s">
        <v>79</v>
      </c>
      <c r="AB64" s="3" t="s">
        <v>43</v>
      </c>
      <c r="AC64" s="4">
        <v>17470</v>
      </c>
      <c r="AD64" s="8">
        <f>AC64-R64</f>
      </c>
    </row>
    <row r="65" ht="20" customHeight="1" spans="1:30" x14ac:dyDescent="0.25">
      <c r="A65" s="2">
        <v>64</v>
      </c>
      <c r="B65" s="3" t="s">
        <v>30</v>
      </c>
      <c r="C65" s="3" t="s">
        <v>31</v>
      </c>
      <c r="D65" s="2" t="s">
        <v>269</v>
      </c>
      <c r="E65" s="2" t="s">
        <v>59</v>
      </c>
      <c r="F65" s="3" t="s">
        <v>81</v>
      </c>
      <c r="G65" s="3" t="s">
        <v>47</v>
      </c>
      <c r="H65" s="3" t="s">
        <v>270</v>
      </c>
      <c r="I65" s="4">
        <f>(253.00*4.5)+(0.00*9)</f>
      </c>
      <c r="J65" s="4">
        <f>340.00+282.25</f>
      </c>
      <c r="K65" s="4">
        <v>1800</v>
      </c>
      <c r="L65" s="4">
        <v>0</v>
      </c>
      <c r="M65" s="4">
        <v>0</v>
      </c>
      <c r="N65" s="4">
        <v>3600</v>
      </c>
      <c r="O65" s="4">
        <v>0</v>
      </c>
      <c r="P65" s="4">
        <v>0</v>
      </c>
      <c r="Q65" s="4">
        <v>0</v>
      </c>
      <c r="R65" s="5">
        <f>SUM(I65:Q65)</f>
      </c>
      <c r="S65" s="6">
        <v>0</v>
      </c>
      <c r="T65" s="7">
        <f>R65-S65</f>
      </c>
      <c r="U65" s="3" t="s">
        <v>37</v>
      </c>
      <c r="V65" s="3" t="s">
        <v>38</v>
      </c>
      <c r="W65" s="3" t="s">
        <v>271</v>
      </c>
      <c r="X65" s="3" t="s">
        <v>40</v>
      </c>
      <c r="Y65" s="3" t="s">
        <v>41</v>
      </c>
      <c r="Z65" s="3" t="s">
        <v>37</v>
      </c>
      <c r="AA65" s="3" t="s">
        <v>165</v>
      </c>
      <c r="AB65" s="3" t="s">
        <v>43</v>
      </c>
      <c r="AC65" s="4">
        <v>5960.75</v>
      </c>
      <c r="AD65" s="8">
        <f>AC65-R65</f>
      </c>
    </row>
    <row r="66" ht="20" customHeight="1" spans="1:30" x14ac:dyDescent="0.25">
      <c r="A66" s="2">
        <v>65</v>
      </c>
      <c r="B66" s="3" t="s">
        <v>30</v>
      </c>
      <c r="C66" s="3" t="s">
        <v>31</v>
      </c>
      <c r="D66" s="2" t="s">
        <v>272</v>
      </c>
      <c r="E66" s="2" t="s">
        <v>33</v>
      </c>
      <c r="F66" s="3" t="s">
        <v>60</v>
      </c>
      <c r="G66" s="3" t="s">
        <v>35</v>
      </c>
      <c r="H66" s="3" t="s">
        <v>273</v>
      </c>
      <c r="I66" s="4">
        <f>(1154.40*4.5)+(0.00*9)</f>
      </c>
      <c r="J66" s="4">
        <f>50.00+1633.00</f>
      </c>
      <c r="K66" s="4">
        <v>3350</v>
      </c>
      <c r="L66" s="4">
        <v>0</v>
      </c>
      <c r="M66" s="4">
        <v>0</v>
      </c>
      <c r="N66" s="4">
        <v>2300</v>
      </c>
      <c r="O66" s="4">
        <v>0</v>
      </c>
      <c r="P66" s="4">
        <v>0</v>
      </c>
      <c r="Q66" s="4">
        <v>0</v>
      </c>
      <c r="R66" s="5">
        <f>SUM(I66:Q66)</f>
      </c>
      <c r="S66" s="6">
        <v>0</v>
      </c>
      <c r="T66" s="7">
        <f>R66-S66</f>
      </c>
      <c r="U66" s="3" t="s">
        <v>37</v>
      </c>
      <c r="V66" s="3" t="s">
        <v>38</v>
      </c>
      <c r="W66" s="3" t="s">
        <v>274</v>
      </c>
      <c r="X66" s="3" t="s">
        <v>40</v>
      </c>
      <c r="Y66" s="3" t="s">
        <v>41</v>
      </c>
      <c r="Z66" s="3" t="s">
        <v>37</v>
      </c>
      <c r="AA66" s="3" t="s">
        <v>275</v>
      </c>
      <c r="AB66" s="3" t="s">
        <v>43</v>
      </c>
      <c r="AC66" s="4">
        <v>14565</v>
      </c>
      <c r="AD66" s="8">
        <f>AC66-R66</f>
      </c>
    </row>
    <row r="67" ht="20" customHeight="1" spans="1:30" x14ac:dyDescent="0.25">
      <c r="A67" s="2">
        <v>66</v>
      </c>
      <c r="B67" s="3" t="s">
        <v>30</v>
      </c>
      <c r="C67" s="3" t="s">
        <v>31</v>
      </c>
      <c r="D67" s="2" t="s">
        <v>276</v>
      </c>
      <c r="E67" s="2" t="s">
        <v>59</v>
      </c>
      <c r="F67" s="3" t="s">
        <v>60</v>
      </c>
      <c r="G67" s="3" t="s">
        <v>35</v>
      </c>
      <c r="H67" s="3" t="s">
        <v>277</v>
      </c>
      <c r="I67" s="4">
        <f>(1439.00*4.5)+(0.00*9)</f>
      </c>
      <c r="J67" s="4">
        <f>2250.00+3816.50</f>
      </c>
      <c r="K67" s="4">
        <v>5350</v>
      </c>
      <c r="L67" s="4">
        <v>0</v>
      </c>
      <c r="M67" s="4">
        <v>0</v>
      </c>
      <c r="N67" s="4">
        <v>10245</v>
      </c>
      <c r="O67" s="4">
        <v>0</v>
      </c>
      <c r="P67" s="4">
        <v>0</v>
      </c>
      <c r="Q67" s="4">
        <v>0</v>
      </c>
      <c r="R67" s="5">
        <f>SUM(I67:Q67)</f>
      </c>
      <c r="S67" s="6">
        <v>0</v>
      </c>
      <c r="T67" s="7">
        <f>R67-S67</f>
      </c>
      <c r="U67" s="3" t="s">
        <v>37</v>
      </c>
      <c r="V67" s="3" t="s">
        <v>38</v>
      </c>
      <c r="W67" s="3" t="s">
        <v>278</v>
      </c>
      <c r="X67" s="3" t="s">
        <v>40</v>
      </c>
      <c r="Y67" s="3" t="s">
        <v>41</v>
      </c>
      <c r="Z67" s="3" t="s">
        <v>37</v>
      </c>
      <c r="AA67" s="3" t="s">
        <v>42</v>
      </c>
      <c r="AB67" s="3" t="s">
        <v>43</v>
      </c>
      <c r="AC67" s="4">
        <v>30800</v>
      </c>
      <c r="AD67" s="8">
        <f>AC67-R67</f>
      </c>
    </row>
    <row r="68" ht="20" customHeight="1" spans="1:30" x14ac:dyDescent="0.25">
      <c r="A68" s="2">
        <v>67</v>
      </c>
      <c r="B68" s="3" t="s">
        <v>30</v>
      </c>
      <c r="C68" s="3" t="s">
        <v>31</v>
      </c>
      <c r="D68" s="2" t="s">
        <v>279</v>
      </c>
      <c r="E68" s="2" t="s">
        <v>66</v>
      </c>
      <c r="F68" s="3" t="s">
        <v>115</v>
      </c>
      <c r="G68" s="3" t="s">
        <v>47</v>
      </c>
      <c r="H68" s="3" t="s">
        <v>280</v>
      </c>
      <c r="I68" s="4">
        <f>(840.00*4.5)+(0.00*9)</f>
      </c>
      <c r="J68" s="4">
        <f>500.00+900.00</f>
      </c>
      <c r="K68" s="4">
        <v>5250</v>
      </c>
      <c r="L68" s="4">
        <v>180</v>
      </c>
      <c r="M68" s="4">
        <v>0</v>
      </c>
      <c r="N68" s="4">
        <v>0</v>
      </c>
      <c r="O68" s="4">
        <v>0</v>
      </c>
      <c r="P68" s="4">
        <v>200</v>
      </c>
      <c r="Q68" s="4">
        <v>0</v>
      </c>
      <c r="R68" s="5">
        <f>SUM(I68:Q68)</f>
      </c>
      <c r="S68" s="6">
        <v>0</v>
      </c>
      <c r="T68" s="7">
        <f>R68-S68</f>
      </c>
      <c r="U68" s="3" t="s">
        <v>37</v>
      </c>
      <c r="V68" s="3" t="s">
        <v>38</v>
      </c>
      <c r="W68" s="3" t="s">
        <v>281</v>
      </c>
      <c r="X68" s="3" t="s">
        <v>40</v>
      </c>
      <c r="Y68" s="3" t="s">
        <v>41</v>
      </c>
      <c r="Z68" s="3" t="s">
        <v>37</v>
      </c>
      <c r="AA68" s="3" t="s">
        <v>50</v>
      </c>
      <c r="AB68" s="3" t="s">
        <v>43</v>
      </c>
      <c r="AC68" s="4">
        <v>11094.5</v>
      </c>
      <c r="AD68" s="8">
        <f>AC68-R68</f>
      </c>
    </row>
    <row r="69" ht="20" customHeight="1" spans="1:30" x14ac:dyDescent="0.25">
      <c r="A69" s="2">
        <v>68</v>
      </c>
      <c r="B69" s="3" t="s">
        <v>30</v>
      </c>
      <c r="C69" s="3" t="s">
        <v>31</v>
      </c>
      <c r="D69" s="2" t="s">
        <v>282</v>
      </c>
      <c r="E69" s="2" t="s">
        <v>45</v>
      </c>
      <c r="F69" s="3" t="s">
        <v>46</v>
      </c>
      <c r="G69" s="3" t="s">
        <v>54</v>
      </c>
      <c r="H69" s="3" t="s">
        <v>283</v>
      </c>
      <c r="I69" s="4">
        <f>(452.00*4.5)+(0.00*9)</f>
      </c>
      <c r="J69" s="4">
        <f>1050.00+2693.00</f>
      </c>
      <c r="K69" s="4">
        <v>3197</v>
      </c>
      <c r="L69" s="4">
        <v>0</v>
      </c>
      <c r="M69" s="4">
        <v>0</v>
      </c>
      <c r="N69" s="4">
        <v>18300</v>
      </c>
      <c r="O69" s="4">
        <v>0</v>
      </c>
      <c r="P69" s="4">
        <v>0</v>
      </c>
      <c r="Q69" s="4">
        <v>0</v>
      </c>
      <c r="R69" s="5">
        <f>SUM(I69:Q69)</f>
      </c>
      <c r="S69" s="6">
        <v>0</v>
      </c>
      <c r="T69" s="7">
        <f>R69-S69</f>
      </c>
      <c r="U69" s="3" t="s">
        <v>37</v>
      </c>
      <c r="V69" s="3" t="s">
        <v>38</v>
      </c>
      <c r="W69" s="3" t="s">
        <v>284</v>
      </c>
      <c r="X69" s="3" t="s">
        <v>40</v>
      </c>
      <c r="Y69" s="3" t="s">
        <v>41</v>
      </c>
      <c r="Z69" s="3" t="s">
        <v>37</v>
      </c>
      <c r="AA69" s="3" t="s">
        <v>74</v>
      </c>
      <c r="AB69" s="3" t="s">
        <v>43</v>
      </c>
      <c r="AC69" s="4">
        <v>32832</v>
      </c>
      <c r="AD69" s="8">
        <f>AC69-R69</f>
      </c>
    </row>
    <row r="70" ht="20" customHeight="1" spans="1:30" x14ac:dyDescent="0.25">
      <c r="A70" s="2">
        <v>69</v>
      </c>
      <c r="B70" s="3" t="s">
        <v>30</v>
      </c>
      <c r="C70" s="3" t="s">
        <v>31</v>
      </c>
      <c r="D70" s="2" t="s">
        <v>285</v>
      </c>
      <c r="E70" s="2" t="s">
        <v>45</v>
      </c>
      <c r="F70" s="3" t="s">
        <v>46</v>
      </c>
      <c r="G70" s="3" t="s">
        <v>47</v>
      </c>
      <c r="H70" s="3" t="s">
        <v>286</v>
      </c>
      <c r="I70" s="4">
        <f>(0.00*4.5)+(0.00*9)</f>
      </c>
      <c r="J70" s="4">
        <f>510.00+1585.00</f>
      </c>
      <c r="K70" s="4">
        <v>5500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5">
        <f>SUM(I70:Q70)</f>
      </c>
      <c r="S70" s="6">
        <v>0</v>
      </c>
      <c r="T70" s="7">
        <f>R70-S70</f>
      </c>
      <c r="U70" s="3" t="s">
        <v>37</v>
      </c>
      <c r="V70" s="3" t="s">
        <v>38</v>
      </c>
      <c r="W70" s="3" t="s">
        <v>287</v>
      </c>
      <c r="X70" s="3" t="s">
        <v>40</v>
      </c>
      <c r="Y70" s="3" t="s">
        <v>41</v>
      </c>
      <c r="Z70" s="3" t="s">
        <v>37</v>
      </c>
      <c r="AA70" s="3" t="s">
        <v>50</v>
      </c>
      <c r="AB70" s="3" t="s">
        <v>43</v>
      </c>
      <c r="AC70" s="4">
        <v>7875</v>
      </c>
      <c r="AD70" s="8">
        <f>AC70-R70</f>
      </c>
    </row>
    <row r="71" ht="20" customHeight="1" spans="1:30" x14ac:dyDescent="0.25">
      <c r="A71" s="2">
        <v>70</v>
      </c>
      <c r="B71" s="3" t="s">
        <v>30</v>
      </c>
      <c r="C71" s="3" t="s">
        <v>31</v>
      </c>
      <c r="D71" s="2" t="s">
        <v>288</v>
      </c>
      <c r="E71" s="2" t="s">
        <v>33</v>
      </c>
      <c r="F71" s="3" t="s">
        <v>60</v>
      </c>
      <c r="G71" s="3" t="s">
        <v>54</v>
      </c>
      <c r="H71" s="3" t="s">
        <v>289</v>
      </c>
      <c r="I71" s="4">
        <f>(1083.00*4.5)+(0.00*9)</f>
      </c>
      <c r="J71" s="4">
        <f>0.00+0.00</f>
      </c>
      <c r="K71" s="4">
        <v>5050</v>
      </c>
      <c r="L71" s="4">
        <v>2910</v>
      </c>
      <c r="M71" s="4">
        <v>0</v>
      </c>
      <c r="N71" s="4">
        <v>0</v>
      </c>
      <c r="O71" s="4">
        <v>0</v>
      </c>
      <c r="P71" s="4">
        <v>54</v>
      </c>
      <c r="Q71" s="4">
        <v>0</v>
      </c>
      <c r="R71" s="5">
        <f>SUM(I71:Q71)</f>
      </c>
      <c r="S71" s="6">
        <v>0</v>
      </c>
      <c r="T71" s="7">
        <f>R71-S71</f>
      </c>
      <c r="U71" s="3" t="s">
        <v>37</v>
      </c>
      <c r="V71" s="3" t="s">
        <v>38</v>
      </c>
      <c r="W71" s="3" t="s">
        <v>290</v>
      </c>
      <c r="X71" s="3" t="s">
        <v>40</v>
      </c>
      <c r="Y71" s="3" t="s">
        <v>41</v>
      </c>
      <c r="Z71" s="3" t="s">
        <v>37</v>
      </c>
      <c r="AA71" s="3" t="s">
        <v>74</v>
      </c>
      <c r="AB71" s="3" t="s">
        <v>43</v>
      </c>
      <c r="AC71" s="4">
        <v>13517.5</v>
      </c>
      <c r="AD71" s="8">
        <f>AC71-R71</f>
      </c>
    </row>
    <row r="72" ht="20" customHeight="1" spans="1:30" x14ac:dyDescent="0.25">
      <c r="A72" s="2">
        <v>71</v>
      </c>
      <c r="B72" s="3" t="s">
        <v>30</v>
      </c>
      <c r="C72" s="3" t="s">
        <v>31</v>
      </c>
      <c r="D72" s="2" t="s">
        <v>291</v>
      </c>
      <c r="E72" s="2" t="s">
        <v>59</v>
      </c>
      <c r="F72" s="3" t="s">
        <v>292</v>
      </c>
      <c r="G72" s="3" t="s">
        <v>61</v>
      </c>
      <c r="H72" s="3" t="s">
        <v>293</v>
      </c>
      <c r="I72" s="4">
        <f>(140.00*4.5)+(0.00*9)</f>
      </c>
      <c r="J72" s="4">
        <f>2222.00+5220.00</f>
      </c>
      <c r="K72" s="4">
        <v>7250</v>
      </c>
      <c r="L72" s="4">
        <v>0</v>
      </c>
      <c r="M72" s="4">
        <v>260</v>
      </c>
      <c r="N72" s="4">
        <v>11500</v>
      </c>
      <c r="O72" s="4">
        <v>0</v>
      </c>
      <c r="P72" s="4">
        <v>0</v>
      </c>
      <c r="Q72" s="4">
        <v>0</v>
      </c>
      <c r="R72" s="5">
        <f>SUM(I72:Q72)</f>
      </c>
      <c r="S72" s="6">
        <v>0</v>
      </c>
      <c r="T72" s="7">
        <f>R72-S72</f>
      </c>
      <c r="U72" s="3" t="s">
        <v>37</v>
      </c>
      <c r="V72" s="3" t="s">
        <v>38</v>
      </c>
      <c r="W72" s="3" t="s">
        <v>37</v>
      </c>
      <c r="X72" s="3" t="s">
        <v>40</v>
      </c>
      <c r="Y72" s="3" t="s">
        <v>41</v>
      </c>
      <c r="Z72" s="3" t="s">
        <v>37</v>
      </c>
      <c r="AA72" s="3" t="s">
        <v>156</v>
      </c>
      <c r="AB72" s="3" t="s">
        <v>43</v>
      </c>
      <c r="AC72" s="4">
        <v>27082</v>
      </c>
      <c r="AD72" s="8">
        <f>AC72-R72</f>
      </c>
    </row>
    <row r="73" ht="20" customHeight="1" spans="1:30" x14ac:dyDescent="0.25">
      <c r="A73" s="2">
        <v>72</v>
      </c>
      <c r="B73" s="3" t="s">
        <v>30</v>
      </c>
      <c r="C73" s="3" t="s">
        <v>31</v>
      </c>
      <c r="D73" s="2" t="s">
        <v>294</v>
      </c>
      <c r="E73" s="2" t="s">
        <v>52</v>
      </c>
      <c r="F73" s="3" t="s">
        <v>53</v>
      </c>
      <c r="G73" s="3" t="s">
        <v>54</v>
      </c>
      <c r="H73" s="3" t="s">
        <v>295</v>
      </c>
      <c r="I73" s="4">
        <f>(1568.00*4.5)+(0.00*9)</f>
      </c>
      <c r="J73" s="4">
        <f>0.00+0.00</f>
      </c>
      <c r="K73" s="4">
        <v>3900</v>
      </c>
      <c r="L73" s="4">
        <v>598</v>
      </c>
      <c r="M73" s="4">
        <v>0</v>
      </c>
      <c r="N73" s="4">
        <v>0</v>
      </c>
      <c r="O73" s="4">
        <v>0</v>
      </c>
      <c r="P73" s="4">
        <v>799</v>
      </c>
      <c r="Q73" s="4">
        <v>0</v>
      </c>
      <c r="R73" s="5">
        <f>SUM(I73:Q73)</f>
      </c>
      <c r="S73" s="6">
        <v>0</v>
      </c>
      <c r="T73" s="7">
        <f>R73-S73</f>
      </c>
      <c r="U73" s="3" t="s">
        <v>37</v>
      </c>
      <c r="V73" s="3" t="s">
        <v>38</v>
      </c>
      <c r="W73" s="3" t="s">
        <v>296</v>
      </c>
      <c r="X73" s="3" t="s">
        <v>40</v>
      </c>
      <c r="Y73" s="3" t="s">
        <v>41</v>
      </c>
      <c r="Z73" s="3" t="s">
        <v>37</v>
      </c>
      <c r="AA73" s="3" t="s">
        <v>258</v>
      </c>
      <c r="AB73" s="3" t="s">
        <v>43</v>
      </c>
      <c r="AC73" s="4">
        <v>14171</v>
      </c>
      <c r="AD73" s="8">
        <f>AC73-R73</f>
      </c>
    </row>
    <row r="74" ht="20" customHeight="1" spans="1:30" x14ac:dyDescent="0.25">
      <c r="A74" s="2">
        <v>73</v>
      </c>
      <c r="B74" s="3" t="s">
        <v>30</v>
      </c>
      <c r="C74" s="3" t="s">
        <v>31</v>
      </c>
      <c r="D74" s="2" t="s">
        <v>297</v>
      </c>
      <c r="E74" s="2" t="s">
        <v>59</v>
      </c>
      <c r="F74" s="3" t="s">
        <v>81</v>
      </c>
      <c r="G74" s="3" t="s">
        <v>61</v>
      </c>
      <c r="H74" s="3" t="s">
        <v>298</v>
      </c>
      <c r="I74" s="4">
        <f>(1986.00*4.5)+(0.00*9)</f>
      </c>
      <c r="J74" s="4">
        <f>0.00+1440.00</f>
      </c>
      <c r="K74" s="4">
        <v>3300</v>
      </c>
      <c r="L74" s="4">
        <v>0</v>
      </c>
      <c r="M74" s="4">
        <v>600</v>
      </c>
      <c r="N74" s="4">
        <v>0</v>
      </c>
      <c r="O74" s="4">
        <v>0</v>
      </c>
      <c r="P74" s="4">
        <v>0</v>
      </c>
      <c r="Q74" s="4">
        <v>0</v>
      </c>
      <c r="R74" s="5">
        <f>SUM(I74:Q74)</f>
      </c>
      <c r="S74" s="6">
        <v>0</v>
      </c>
      <c r="T74" s="7">
        <f>R74-S74</f>
      </c>
      <c r="U74" s="3" t="s">
        <v>37</v>
      </c>
      <c r="V74" s="3" t="s">
        <v>38</v>
      </c>
      <c r="W74" s="3" t="s">
        <v>299</v>
      </c>
      <c r="X74" s="3" t="s">
        <v>40</v>
      </c>
      <c r="Y74" s="3" t="s">
        <v>41</v>
      </c>
      <c r="Z74" s="3" t="s">
        <v>37</v>
      </c>
      <c r="AA74" s="3" t="s">
        <v>84</v>
      </c>
      <c r="AB74" s="3" t="s">
        <v>43</v>
      </c>
      <c r="AC74" s="4">
        <v>14472</v>
      </c>
      <c r="AD74" s="8">
        <f>AC74-R74</f>
      </c>
    </row>
    <row r="75" ht="20" customHeight="1" spans="1:30" x14ac:dyDescent="0.25">
      <c r="A75" s="2">
        <v>74</v>
      </c>
      <c r="B75" s="3" t="s">
        <v>30</v>
      </c>
      <c r="C75" s="3" t="s">
        <v>31</v>
      </c>
      <c r="D75" s="2" t="s">
        <v>300</v>
      </c>
      <c r="E75" s="2" t="s">
        <v>45</v>
      </c>
      <c r="F75" s="3" t="s">
        <v>102</v>
      </c>
      <c r="G75" s="3" t="s">
        <v>54</v>
      </c>
      <c r="H75" s="3" t="s">
        <v>301</v>
      </c>
      <c r="I75" s="4">
        <f>(1960.00*4.5)+(0.00*9)</f>
      </c>
      <c r="J75" s="4">
        <f>100.00+598.00</f>
      </c>
      <c r="K75" s="4">
        <v>2200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5">
        <f>SUM(I75:Q75)</f>
      </c>
      <c r="S75" s="6">
        <v>0</v>
      </c>
      <c r="T75" s="7">
        <f>R75-S75</f>
      </c>
      <c r="U75" s="3" t="s">
        <v>37</v>
      </c>
      <c r="V75" s="3" t="s">
        <v>38</v>
      </c>
      <c r="W75" s="3" t="s">
        <v>302</v>
      </c>
      <c r="X75" s="3" t="s">
        <v>40</v>
      </c>
      <c r="Y75" s="3" t="s">
        <v>41</v>
      </c>
      <c r="Z75" s="3" t="s">
        <v>37</v>
      </c>
      <c r="AA75" s="3" t="s">
        <v>74</v>
      </c>
      <c r="AB75" s="3" t="s">
        <v>43</v>
      </c>
      <c r="AC75" s="4">
        <v>14218</v>
      </c>
      <c r="AD75" s="8">
        <f>AC75-R75</f>
      </c>
    </row>
    <row r="76" ht="20" customHeight="1" spans="1:30" x14ac:dyDescent="0.25">
      <c r="A76" s="2">
        <v>75</v>
      </c>
      <c r="B76" s="3" t="s">
        <v>30</v>
      </c>
      <c r="C76" s="3" t="s">
        <v>31</v>
      </c>
      <c r="D76" s="2" t="s">
        <v>303</v>
      </c>
      <c r="E76" s="2" t="s">
        <v>52</v>
      </c>
      <c r="F76" s="3" t="s">
        <v>53</v>
      </c>
      <c r="G76" s="3" t="s">
        <v>47</v>
      </c>
      <c r="H76" s="3" t="s">
        <v>304</v>
      </c>
      <c r="I76" s="4">
        <f>(1880.00*4.5)+(0.00*9)</f>
      </c>
      <c r="J76" s="4">
        <f>0.00+0.00</f>
      </c>
      <c r="K76" s="4">
        <v>1950</v>
      </c>
      <c r="L76" s="4">
        <v>200</v>
      </c>
      <c r="M76" s="4">
        <v>800</v>
      </c>
      <c r="N76" s="4">
        <v>0</v>
      </c>
      <c r="O76" s="4">
        <v>0</v>
      </c>
      <c r="P76" s="4">
        <v>350</v>
      </c>
      <c r="Q76" s="4">
        <v>0</v>
      </c>
      <c r="R76" s="5">
        <f>SUM(I76:Q76)</f>
      </c>
      <c r="S76" s="6">
        <v>0</v>
      </c>
      <c r="T76" s="7">
        <f>R76-S76</f>
      </c>
      <c r="U76" s="3" t="s">
        <v>37</v>
      </c>
      <c r="V76" s="3" t="s">
        <v>38</v>
      </c>
      <c r="W76" s="3" t="s">
        <v>305</v>
      </c>
      <c r="X76" s="3" t="s">
        <v>40</v>
      </c>
      <c r="Y76" s="3" t="s">
        <v>41</v>
      </c>
      <c r="Z76" s="3" t="s">
        <v>37</v>
      </c>
      <c r="AA76" s="3" t="s">
        <v>165</v>
      </c>
      <c r="AB76" s="3" t="s">
        <v>43</v>
      </c>
      <c r="AC76" s="4">
        <v>12150</v>
      </c>
      <c r="AD76" s="8">
        <f>AC76-R76</f>
      </c>
    </row>
    <row r="77" ht="20" customHeight="1" spans="1:30" x14ac:dyDescent="0.25">
      <c r="A77" s="2">
        <v>76</v>
      </c>
      <c r="B77" s="3" t="s">
        <v>30</v>
      </c>
      <c r="C77" s="3" t="s">
        <v>31</v>
      </c>
      <c r="D77" s="2" t="s">
        <v>306</v>
      </c>
      <c r="E77" s="2" t="s">
        <v>45</v>
      </c>
      <c r="F77" s="3" t="s">
        <v>146</v>
      </c>
      <c r="G77" s="3" t="s">
        <v>61</v>
      </c>
      <c r="H77" s="3" t="s">
        <v>307</v>
      </c>
      <c r="I77" s="4">
        <f>(0.00*4.5)+(0.00*9)</f>
      </c>
      <c r="J77" s="4">
        <f>930.00+4288.00</f>
      </c>
      <c r="K77" s="4">
        <v>3300</v>
      </c>
      <c r="L77" s="4">
        <v>0</v>
      </c>
      <c r="M77" s="4">
        <v>0</v>
      </c>
      <c r="N77" s="4">
        <v>14850</v>
      </c>
      <c r="O77" s="4">
        <v>0</v>
      </c>
      <c r="P77" s="4">
        <v>1030</v>
      </c>
      <c r="Q77" s="4">
        <v>0</v>
      </c>
      <c r="R77" s="5">
        <f>SUM(I77:Q77)</f>
      </c>
      <c r="S77" s="6">
        <v>0</v>
      </c>
      <c r="T77" s="7">
        <f>R77-S77</f>
      </c>
      <c r="U77" s="3" t="s">
        <v>37</v>
      </c>
      <c r="V77" s="3" t="s">
        <v>38</v>
      </c>
      <c r="W77" s="3" t="s">
        <v>37</v>
      </c>
      <c r="X77" s="3" t="s">
        <v>40</v>
      </c>
      <c r="Y77" s="3" t="s">
        <v>41</v>
      </c>
      <c r="Z77" s="3" t="s">
        <v>37</v>
      </c>
      <c r="AA77" s="3" t="s">
        <v>96</v>
      </c>
      <c r="AB77" s="3" t="s">
        <v>43</v>
      </c>
      <c r="AC77" s="4">
        <v>24398</v>
      </c>
      <c r="AD77" s="8">
        <f>AC77-R77</f>
      </c>
    </row>
    <row r="78" ht="20" customHeight="1" spans="1:30" x14ac:dyDescent="0.25">
      <c r="A78" s="2">
        <v>77</v>
      </c>
      <c r="B78" s="3" t="s">
        <v>30</v>
      </c>
      <c r="C78" s="3" t="s">
        <v>31</v>
      </c>
      <c r="D78" s="2" t="s">
        <v>308</v>
      </c>
      <c r="E78" s="2" t="s">
        <v>52</v>
      </c>
      <c r="F78" s="3" t="s">
        <v>53</v>
      </c>
      <c r="G78" s="3" t="s">
        <v>54</v>
      </c>
      <c r="H78" s="3" t="s">
        <v>309</v>
      </c>
      <c r="I78" s="4">
        <f>(1614.00*4.5)+(0.00*9)</f>
      </c>
      <c r="J78" s="4">
        <f>0.00+0.00</f>
      </c>
      <c r="K78" s="4">
        <v>3750</v>
      </c>
      <c r="L78" s="4">
        <v>0</v>
      </c>
      <c r="M78" s="4">
        <v>0</v>
      </c>
      <c r="N78" s="4">
        <v>0</v>
      </c>
      <c r="O78" s="4">
        <v>0</v>
      </c>
      <c r="P78" s="4">
        <v>299</v>
      </c>
      <c r="Q78" s="4">
        <v>0</v>
      </c>
      <c r="R78" s="5">
        <f>SUM(I78:Q78)</f>
      </c>
      <c r="S78" s="6">
        <v>0</v>
      </c>
      <c r="T78" s="7">
        <f>R78-S78</f>
      </c>
      <c r="U78" s="3" t="s">
        <v>37</v>
      </c>
      <c r="V78" s="3" t="s">
        <v>38</v>
      </c>
      <c r="W78" s="3" t="s">
        <v>310</v>
      </c>
      <c r="X78" s="3" t="s">
        <v>40</v>
      </c>
      <c r="Y78" s="3" t="s">
        <v>41</v>
      </c>
      <c r="Z78" s="3" t="s">
        <v>37</v>
      </c>
      <c r="AA78" s="3" t="s">
        <v>258</v>
      </c>
      <c r="AB78" s="3" t="s">
        <v>43</v>
      </c>
      <c r="AC78" s="4">
        <v>12932</v>
      </c>
      <c r="AD78" s="8">
        <f>AC78-R78</f>
      </c>
    </row>
    <row r="79" ht="20" customHeight="1" spans="1:30" x14ac:dyDescent="0.25">
      <c r="A79" s="2">
        <v>78</v>
      </c>
      <c r="B79" s="3" t="s">
        <v>30</v>
      </c>
      <c r="C79" s="3" t="s">
        <v>31</v>
      </c>
      <c r="D79" s="2" t="s">
        <v>311</v>
      </c>
      <c r="E79" s="2" t="s">
        <v>33</v>
      </c>
      <c r="F79" s="3" t="s">
        <v>119</v>
      </c>
      <c r="G79" s="3" t="s">
        <v>35</v>
      </c>
      <c r="H79" s="3" t="s">
        <v>312</v>
      </c>
      <c r="I79" s="4">
        <f>(2154.00*4.5)+(0.00*9)</f>
      </c>
      <c r="J79" s="4">
        <f>0.00+0.00</f>
      </c>
      <c r="K79" s="4">
        <v>3450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5">
        <f>SUM(I79:Q79)</f>
      </c>
      <c r="S79" s="6">
        <v>0</v>
      </c>
      <c r="T79" s="7">
        <f>R79-S79</f>
      </c>
      <c r="U79" s="3" t="s">
        <v>37</v>
      </c>
      <c r="V79" s="3" t="s">
        <v>38</v>
      </c>
      <c r="W79" s="3" t="s">
        <v>313</v>
      </c>
      <c r="X79" s="3" t="s">
        <v>40</v>
      </c>
      <c r="Y79" s="3" t="s">
        <v>41</v>
      </c>
      <c r="Z79" s="3" t="s">
        <v>37</v>
      </c>
      <c r="AA79" s="3" t="s">
        <v>230</v>
      </c>
      <c r="AB79" s="3" t="s">
        <v>43</v>
      </c>
      <c r="AC79" s="4">
        <v>13614</v>
      </c>
      <c r="AD79" s="8">
        <f>AC79-R79</f>
      </c>
    </row>
    <row r="80" ht="20" customHeight="1" spans="1:30" x14ac:dyDescent="0.25">
      <c r="A80" s="2">
        <v>79</v>
      </c>
      <c r="B80" s="3" t="s">
        <v>30</v>
      </c>
      <c r="C80" s="3" t="s">
        <v>31</v>
      </c>
      <c r="D80" s="2" t="s">
        <v>314</v>
      </c>
      <c r="E80" s="2" t="s">
        <v>33</v>
      </c>
      <c r="F80" s="3" t="s">
        <v>119</v>
      </c>
      <c r="G80" s="3" t="s">
        <v>61</v>
      </c>
      <c r="H80" s="3" t="s">
        <v>315</v>
      </c>
      <c r="I80" s="4">
        <f>(2479.00*4.5)+(0.00*9)</f>
      </c>
      <c r="J80" s="4">
        <f>180.00+950.00</f>
      </c>
      <c r="K80" s="4">
        <v>3500</v>
      </c>
      <c r="L80" s="4">
        <v>0</v>
      </c>
      <c r="M80" s="4">
        <v>0</v>
      </c>
      <c r="N80" s="4">
        <v>1000</v>
      </c>
      <c r="O80" s="4">
        <v>0</v>
      </c>
      <c r="P80" s="4">
        <v>470</v>
      </c>
      <c r="Q80" s="4">
        <v>0</v>
      </c>
      <c r="R80" s="5">
        <f>SUM(I80:Q80)</f>
      </c>
      <c r="S80" s="6">
        <v>0</v>
      </c>
      <c r="T80" s="7">
        <f>R80-S80</f>
      </c>
      <c r="U80" s="3" t="s">
        <v>37</v>
      </c>
      <c r="V80" s="3" t="s">
        <v>38</v>
      </c>
      <c r="W80" s="3" t="s">
        <v>316</v>
      </c>
      <c r="X80" s="3" t="s">
        <v>40</v>
      </c>
      <c r="Y80" s="3" t="s">
        <v>41</v>
      </c>
      <c r="Z80" s="3" t="s">
        <v>37</v>
      </c>
      <c r="AA80" s="3" t="s">
        <v>103</v>
      </c>
      <c r="AB80" s="3" t="s">
        <v>43</v>
      </c>
      <c r="AC80" s="4">
        <v>17290</v>
      </c>
      <c r="AD80" s="8">
        <f>AC80-R80</f>
      </c>
    </row>
    <row r="81" ht="20" customHeight="1" spans="1:30" x14ac:dyDescent="0.25">
      <c r="A81" s="2">
        <v>80</v>
      </c>
      <c r="B81" s="3" t="s">
        <v>30</v>
      </c>
      <c r="C81" s="3" t="s">
        <v>31</v>
      </c>
      <c r="D81" s="2" t="s">
        <v>317</v>
      </c>
      <c r="E81" s="2" t="s">
        <v>52</v>
      </c>
      <c r="F81" s="3" t="s">
        <v>53</v>
      </c>
      <c r="G81" s="3" t="s">
        <v>61</v>
      </c>
      <c r="H81" s="3" t="s">
        <v>318</v>
      </c>
      <c r="I81" s="4">
        <f>(1943.00*4.5)+(0.00*9)</f>
      </c>
      <c r="J81" s="4">
        <f>0.00+0.00</f>
      </c>
      <c r="K81" s="4">
        <v>2550</v>
      </c>
      <c r="L81" s="4">
        <v>390</v>
      </c>
      <c r="M81" s="4">
        <v>0</v>
      </c>
      <c r="N81" s="4">
        <v>0</v>
      </c>
      <c r="O81" s="4">
        <v>0</v>
      </c>
      <c r="P81" s="4">
        <v>299</v>
      </c>
      <c r="Q81" s="4">
        <v>0</v>
      </c>
      <c r="R81" s="5">
        <f>SUM(I81:Q81)</f>
      </c>
      <c r="S81" s="6">
        <v>0</v>
      </c>
      <c r="T81" s="7">
        <f>R81-S81</f>
      </c>
      <c r="U81" s="3" t="s">
        <v>37</v>
      </c>
      <c r="V81" s="3" t="s">
        <v>38</v>
      </c>
      <c r="W81" s="3" t="s">
        <v>319</v>
      </c>
      <c r="X81" s="3" t="s">
        <v>40</v>
      </c>
      <c r="Y81" s="3" t="s">
        <v>41</v>
      </c>
      <c r="Z81" s="3" t="s">
        <v>37</v>
      </c>
      <c r="AA81" s="3" t="s">
        <v>69</v>
      </c>
      <c r="AB81" s="3" t="s">
        <v>43</v>
      </c>
      <c r="AC81" s="4">
        <v>12419</v>
      </c>
      <c r="AD81" s="8">
        <f>AC81-R81</f>
      </c>
    </row>
    <row r="82" ht="20" customHeight="1" spans="1:30" x14ac:dyDescent="0.25">
      <c r="A82" s="2">
        <v>81</v>
      </c>
      <c r="B82" s="3" t="s">
        <v>30</v>
      </c>
      <c r="C82" s="3" t="s">
        <v>31</v>
      </c>
      <c r="D82" s="2" t="s">
        <v>320</v>
      </c>
      <c r="E82" s="2" t="s">
        <v>52</v>
      </c>
      <c r="F82" s="3" t="s">
        <v>53</v>
      </c>
      <c r="G82" s="3" t="s">
        <v>47</v>
      </c>
      <c r="H82" s="3" t="s">
        <v>321</v>
      </c>
      <c r="I82" s="4">
        <f>(584.00*4.5)+(0.00*9)</f>
      </c>
      <c r="J82" s="4">
        <f>80.00+2700.00</f>
      </c>
      <c r="K82" s="4">
        <v>1500</v>
      </c>
      <c r="L82" s="4">
        <v>330</v>
      </c>
      <c r="M82" s="4">
        <v>650</v>
      </c>
      <c r="N82" s="4">
        <v>0</v>
      </c>
      <c r="O82" s="4">
        <v>0</v>
      </c>
      <c r="P82" s="4">
        <v>0</v>
      </c>
      <c r="Q82" s="4">
        <v>0</v>
      </c>
      <c r="R82" s="5">
        <f>SUM(I82:Q82)</f>
      </c>
      <c r="S82" s="6">
        <v>0</v>
      </c>
      <c r="T82" s="7">
        <f>R82-S82</f>
      </c>
      <c r="U82" s="3" t="s">
        <v>37</v>
      </c>
      <c r="V82" s="3" t="s">
        <v>38</v>
      </c>
      <c r="W82" s="3" t="s">
        <v>322</v>
      </c>
      <c r="X82" s="3" t="s">
        <v>40</v>
      </c>
      <c r="Y82" s="3" t="s">
        <v>41</v>
      </c>
      <c r="Z82" s="3" t="s">
        <v>37</v>
      </c>
      <c r="AA82" s="3" t="s">
        <v>203</v>
      </c>
      <c r="AB82" s="3" t="s">
        <v>43</v>
      </c>
      <c r="AC82" s="4">
        <v>8909</v>
      </c>
      <c r="AD82" s="8">
        <f>AC82-R82</f>
      </c>
    </row>
    <row r="83" ht="20" customHeight="1" spans="1:30" x14ac:dyDescent="0.25">
      <c r="A83" s="2">
        <v>82</v>
      </c>
      <c r="B83" s="3" t="s">
        <v>30</v>
      </c>
      <c r="C83" s="3" t="s">
        <v>31</v>
      </c>
      <c r="D83" s="2" t="s">
        <v>323</v>
      </c>
      <c r="E83" s="2" t="s">
        <v>52</v>
      </c>
      <c r="F83" s="3" t="s">
        <v>53</v>
      </c>
      <c r="G83" s="3" t="s">
        <v>324</v>
      </c>
      <c r="H83" s="3" t="s">
        <v>325</v>
      </c>
      <c r="I83" s="4">
        <f>(832.00*4.5)+(0.00*9)</f>
      </c>
      <c r="J83" s="4">
        <f>0.00+0.00</f>
      </c>
      <c r="K83" s="4">
        <v>4000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5">
        <f>SUM(I83:Q83)</f>
      </c>
      <c r="S83" s="6">
        <v>0</v>
      </c>
      <c r="T83" s="7">
        <f>R83-S83</f>
      </c>
      <c r="U83" s="3" t="s">
        <v>37</v>
      </c>
      <c r="V83" s="3" t="s">
        <v>38</v>
      </c>
      <c r="W83" s="3" t="s">
        <v>326</v>
      </c>
      <c r="X83" s="3" t="s">
        <v>40</v>
      </c>
      <c r="Y83" s="3" t="s">
        <v>41</v>
      </c>
      <c r="Z83" s="3" t="s">
        <v>37</v>
      </c>
      <c r="AA83" s="3" t="s">
        <v>236</v>
      </c>
      <c r="AB83" s="3" t="s">
        <v>43</v>
      </c>
      <c r="AC83" s="4">
        <v>7744</v>
      </c>
      <c r="AD83" s="8">
        <f>AC83-R83</f>
      </c>
    </row>
    <row r="84" ht="20" customHeight="1" spans="1:30" x14ac:dyDescent="0.25">
      <c r="A84" s="2">
        <v>83</v>
      </c>
      <c r="B84" s="3" t="s">
        <v>30</v>
      </c>
      <c r="C84" s="3" t="s">
        <v>31</v>
      </c>
      <c r="D84" s="2" t="s">
        <v>327</v>
      </c>
      <c r="E84" s="2" t="s">
        <v>52</v>
      </c>
      <c r="F84" s="3" t="s">
        <v>53</v>
      </c>
      <c r="G84" s="3" t="s">
        <v>54</v>
      </c>
      <c r="H84" s="3" t="s">
        <v>328</v>
      </c>
      <c r="I84" s="4">
        <f>(3470.00*4.5)+(0.00*9)</f>
      </c>
      <c r="J84" s="4">
        <f>0.00+0.00</f>
      </c>
      <c r="K84" s="4">
        <v>4800</v>
      </c>
      <c r="L84" s="4">
        <v>0</v>
      </c>
      <c r="M84" s="4">
        <v>200</v>
      </c>
      <c r="N84" s="4">
        <v>0</v>
      </c>
      <c r="O84" s="4">
        <v>0</v>
      </c>
      <c r="P84" s="4">
        <v>0</v>
      </c>
      <c r="Q84" s="4">
        <v>0</v>
      </c>
      <c r="R84" s="5">
        <f>SUM(I84:Q84)</f>
      </c>
      <c r="S84" s="6">
        <v>0</v>
      </c>
      <c r="T84" s="7">
        <f>R84-S84</f>
      </c>
      <c r="U84" s="3" t="s">
        <v>37</v>
      </c>
      <c r="V84" s="3" t="s">
        <v>38</v>
      </c>
      <c r="W84" s="3" t="s">
        <v>329</v>
      </c>
      <c r="X84" s="3" t="s">
        <v>40</v>
      </c>
      <c r="Y84" s="3" t="s">
        <v>41</v>
      </c>
      <c r="Z84" s="3" t="s">
        <v>37</v>
      </c>
      <c r="AA84" s="3" t="s">
        <v>57</v>
      </c>
      <c r="AB84" s="3" t="s">
        <v>43</v>
      </c>
      <c r="AC84" s="4">
        <v>20337.5</v>
      </c>
      <c r="AD84" s="8">
        <f>AC84-R84</f>
      </c>
    </row>
    <row r="85" ht="20" customHeight="1" spans="1:30" x14ac:dyDescent="0.25">
      <c r="A85" s="2">
        <v>84</v>
      </c>
      <c r="B85" s="3" t="s">
        <v>30</v>
      </c>
      <c r="C85" s="3" t="s">
        <v>31</v>
      </c>
      <c r="D85" s="2" t="s">
        <v>330</v>
      </c>
      <c r="E85" s="2" t="s">
        <v>33</v>
      </c>
      <c r="F85" s="3" t="s">
        <v>119</v>
      </c>
      <c r="G85" s="3" t="s">
        <v>47</v>
      </c>
      <c r="H85" s="3" t="s">
        <v>331</v>
      </c>
      <c r="I85" s="4">
        <f>(1880.00*4.5)+(0.00*9)</f>
      </c>
      <c r="J85" s="4">
        <f>0.00+0.00</f>
      </c>
      <c r="K85" s="4">
        <v>2100</v>
      </c>
      <c r="L85" s="4">
        <v>0</v>
      </c>
      <c r="M85" s="4">
        <v>0</v>
      </c>
      <c r="N85" s="4">
        <v>0</v>
      </c>
      <c r="O85" s="4">
        <v>150</v>
      </c>
      <c r="P85" s="4">
        <v>0</v>
      </c>
      <c r="Q85" s="4">
        <v>0</v>
      </c>
      <c r="R85" s="5">
        <f>SUM(I85:Q85)</f>
      </c>
      <c r="S85" s="6">
        <v>0</v>
      </c>
      <c r="T85" s="7">
        <f>R85-S85</f>
      </c>
      <c r="U85" s="3" t="s">
        <v>37</v>
      </c>
      <c r="V85" s="3" t="s">
        <v>38</v>
      </c>
      <c r="W85" s="3" t="s">
        <v>332</v>
      </c>
      <c r="X85" s="3" t="s">
        <v>40</v>
      </c>
      <c r="Y85" s="3" t="s">
        <v>41</v>
      </c>
      <c r="Z85" s="3" t="s">
        <v>37</v>
      </c>
      <c r="AA85" s="3" t="s">
        <v>86</v>
      </c>
      <c r="AB85" s="3" t="s">
        <v>43</v>
      </c>
      <c r="AC85" s="4">
        <v>10710</v>
      </c>
      <c r="AD85" s="8">
        <f>AC85-R85</f>
      </c>
    </row>
    <row r="86" ht="20" customHeight="1" spans="1:30" x14ac:dyDescent="0.25">
      <c r="A86" s="2">
        <v>85</v>
      </c>
      <c r="B86" s="3" t="s">
        <v>30</v>
      </c>
      <c r="C86" s="3" t="s">
        <v>31</v>
      </c>
      <c r="D86" s="2" t="s">
        <v>333</v>
      </c>
      <c r="E86" s="2" t="s">
        <v>66</v>
      </c>
      <c r="F86" s="3" t="s">
        <v>71</v>
      </c>
      <c r="G86" s="3" t="s">
        <v>35</v>
      </c>
      <c r="H86" s="3" t="s">
        <v>334</v>
      </c>
      <c r="I86" s="4">
        <f>(373.00*4.5)+(0.00*9)</f>
      </c>
      <c r="J86" s="4">
        <f>1700.00+2788.00</f>
      </c>
      <c r="K86" s="4">
        <v>3085</v>
      </c>
      <c r="L86" s="4">
        <v>539</v>
      </c>
      <c r="M86" s="4">
        <v>0</v>
      </c>
      <c r="N86" s="4">
        <v>3150</v>
      </c>
      <c r="O86" s="4">
        <v>0</v>
      </c>
      <c r="P86" s="4">
        <v>0</v>
      </c>
      <c r="Q86" s="4">
        <v>0</v>
      </c>
      <c r="R86" s="5">
        <f>SUM(I86:Q86)</f>
      </c>
      <c r="S86" s="6">
        <v>0</v>
      </c>
      <c r="T86" s="7">
        <f>R86-S86</f>
      </c>
      <c r="U86" s="3" t="s">
        <v>37</v>
      </c>
      <c r="V86" s="3" t="s">
        <v>38</v>
      </c>
      <c r="W86" s="3" t="s">
        <v>335</v>
      </c>
      <c r="X86" s="3" t="s">
        <v>40</v>
      </c>
      <c r="Y86" s="3" t="s">
        <v>41</v>
      </c>
      <c r="Z86" s="3" t="s">
        <v>37</v>
      </c>
      <c r="AA86" s="3" t="s">
        <v>42</v>
      </c>
      <c r="AB86" s="3" t="s">
        <v>43</v>
      </c>
      <c r="AC86" s="4">
        <v>19273</v>
      </c>
      <c r="AD86" s="8">
        <f>AC86-R86</f>
      </c>
    </row>
    <row r="87" ht="20" customHeight="1" spans="1:30" x14ac:dyDescent="0.25">
      <c r="A87" s="2">
        <v>86</v>
      </c>
      <c r="B87" s="3" t="s">
        <v>30</v>
      </c>
      <c r="C87" s="3" t="s">
        <v>31</v>
      </c>
      <c r="D87" s="2" t="s">
        <v>336</v>
      </c>
      <c r="E87" s="2" t="s">
        <v>52</v>
      </c>
      <c r="F87" s="3" t="s">
        <v>53</v>
      </c>
      <c r="G87" s="3" t="s">
        <v>54</v>
      </c>
      <c r="H87" s="3" t="s">
        <v>337</v>
      </c>
      <c r="I87" s="4">
        <f>(1110.00*4.5)+(0.00*9)</f>
      </c>
      <c r="J87" s="4">
        <f>60.00+410.00</f>
      </c>
      <c r="K87" s="4">
        <v>2303</v>
      </c>
      <c r="L87" s="4">
        <v>1420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5">
        <f>SUM(I87:Q87)</f>
      </c>
      <c r="S87" s="6">
        <v>0</v>
      </c>
      <c r="T87" s="7">
        <f>R87-S87</f>
      </c>
      <c r="U87" s="3" t="s">
        <v>37</v>
      </c>
      <c r="V87" s="3" t="s">
        <v>38</v>
      </c>
      <c r="W87" s="3" t="s">
        <v>338</v>
      </c>
      <c r="X87" s="3" t="s">
        <v>40</v>
      </c>
      <c r="Y87" s="3" t="s">
        <v>41</v>
      </c>
      <c r="Z87" s="3" t="s">
        <v>37</v>
      </c>
      <c r="AA87" s="3" t="s">
        <v>133</v>
      </c>
      <c r="AB87" s="3" t="s">
        <v>43</v>
      </c>
      <c r="AC87" s="4">
        <v>11177</v>
      </c>
      <c r="AD87" s="8">
        <f>AC87-R87</f>
      </c>
    </row>
    <row r="88" ht="20" customHeight="1" spans="1:30" x14ac:dyDescent="0.25">
      <c r="A88" s="2">
        <v>87</v>
      </c>
      <c r="B88" s="3" t="s">
        <v>30</v>
      </c>
      <c r="C88" s="3" t="s">
        <v>31</v>
      </c>
      <c r="D88" s="2" t="s">
        <v>339</v>
      </c>
      <c r="E88" s="2" t="s">
        <v>59</v>
      </c>
      <c r="F88" s="3" t="s">
        <v>81</v>
      </c>
      <c r="G88" s="3" t="s">
        <v>54</v>
      </c>
      <c r="H88" s="3" t="s">
        <v>340</v>
      </c>
      <c r="I88" s="4">
        <f>(72.00*4.5)+(0.00*9)</f>
      </c>
      <c r="J88" s="4">
        <f>0.00+0.00</f>
      </c>
      <c r="K88" s="4">
        <v>3900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5">
        <f>SUM(I88:Q88)</f>
      </c>
      <c r="S88" s="6">
        <v>0</v>
      </c>
      <c r="T88" s="7">
        <f>R88-S88</f>
      </c>
      <c r="U88" s="3" t="s">
        <v>37</v>
      </c>
      <c r="V88" s="3" t="s">
        <v>38</v>
      </c>
      <c r="W88" s="3" t="s">
        <v>341</v>
      </c>
      <c r="X88" s="3" t="s">
        <v>40</v>
      </c>
      <c r="Y88" s="3" t="s">
        <v>41</v>
      </c>
      <c r="Z88" s="3" t="s">
        <v>37</v>
      </c>
      <c r="AA88" s="3" t="s">
        <v>258</v>
      </c>
      <c r="AB88" s="3" t="s">
        <v>43</v>
      </c>
      <c r="AC88" s="4">
        <v>4687.5</v>
      </c>
      <c r="AD88" s="8">
        <f>AC88-R88</f>
      </c>
    </row>
    <row r="89" ht="20" customHeight="1" spans="1:30" x14ac:dyDescent="0.25">
      <c r="A89" s="2">
        <v>88</v>
      </c>
      <c r="B89" s="3" t="s">
        <v>30</v>
      </c>
      <c r="C89" s="3" t="s">
        <v>31</v>
      </c>
      <c r="D89" s="2" t="s">
        <v>342</v>
      </c>
      <c r="E89" s="2" t="s">
        <v>59</v>
      </c>
      <c r="F89" s="3" t="s">
        <v>81</v>
      </c>
      <c r="G89" s="3" t="s">
        <v>35</v>
      </c>
      <c r="H89" s="3" t="s">
        <v>343</v>
      </c>
      <c r="I89" s="4">
        <f>(105.00*4.5)+(0.00*9)</f>
      </c>
      <c r="J89" s="4">
        <f>630.00+578.00</f>
      </c>
      <c r="K89" s="4">
        <v>1100</v>
      </c>
      <c r="L89" s="4">
        <v>1170</v>
      </c>
      <c r="M89" s="4">
        <v>0</v>
      </c>
      <c r="N89" s="4">
        <v>1200</v>
      </c>
      <c r="O89" s="4">
        <v>0</v>
      </c>
      <c r="P89" s="4">
        <v>0</v>
      </c>
      <c r="Q89" s="4">
        <v>0</v>
      </c>
      <c r="R89" s="5">
        <f>SUM(I89:Q89)</f>
      </c>
      <c r="S89" s="6">
        <v>0</v>
      </c>
      <c r="T89" s="7">
        <f>R89-S89</f>
      </c>
      <c r="U89" s="3" t="s">
        <v>37</v>
      </c>
      <c r="V89" s="3" t="s">
        <v>38</v>
      </c>
      <c r="W89" s="3" t="s">
        <v>344</v>
      </c>
      <c r="X89" s="3" t="s">
        <v>40</v>
      </c>
      <c r="Y89" s="3" t="s">
        <v>41</v>
      </c>
      <c r="Z89" s="3" t="s">
        <v>37</v>
      </c>
      <c r="AA89" s="3" t="s">
        <v>207</v>
      </c>
      <c r="AB89" s="3" t="s">
        <v>43</v>
      </c>
      <c r="AC89" s="4">
        <v>4800.5</v>
      </c>
      <c r="AD89" s="8">
        <f>AC89-R89</f>
      </c>
    </row>
    <row r="90" ht="20" customHeight="1" spans="1:30" x14ac:dyDescent="0.25">
      <c r="A90" s="2">
        <v>89</v>
      </c>
      <c r="B90" s="3" t="s">
        <v>30</v>
      </c>
      <c r="C90" s="3" t="s">
        <v>31</v>
      </c>
      <c r="D90" s="2" t="s">
        <v>345</v>
      </c>
      <c r="E90" s="2" t="s">
        <v>45</v>
      </c>
      <c r="F90" s="3" t="s">
        <v>71</v>
      </c>
      <c r="G90" s="3" t="s">
        <v>54</v>
      </c>
      <c r="H90" s="3" t="s">
        <v>346</v>
      </c>
      <c r="I90" s="4">
        <f>(7.00*4.5)+(0.00*9)</f>
      </c>
      <c r="J90" s="4">
        <f>861.00+795.00</f>
      </c>
      <c r="K90" s="4">
        <v>4250</v>
      </c>
      <c r="L90" s="4">
        <v>0</v>
      </c>
      <c r="M90" s="4">
        <v>0</v>
      </c>
      <c r="N90" s="4">
        <v>0</v>
      </c>
      <c r="O90" s="4">
        <v>0</v>
      </c>
      <c r="P90" s="4">
        <v>563</v>
      </c>
      <c r="Q90" s="4">
        <v>0</v>
      </c>
      <c r="R90" s="5">
        <f>SUM(I90:Q90)</f>
      </c>
      <c r="S90" s="6">
        <v>0</v>
      </c>
      <c r="T90" s="7">
        <f>R90-S90</f>
      </c>
      <c r="U90" s="3" t="s">
        <v>37</v>
      </c>
      <c r="V90" s="3" t="s">
        <v>38</v>
      </c>
      <c r="W90" s="3" t="s">
        <v>347</v>
      </c>
      <c r="X90" s="3" t="s">
        <v>40</v>
      </c>
      <c r="Y90" s="3" t="s">
        <v>41</v>
      </c>
      <c r="Z90" s="3" t="s">
        <v>37</v>
      </c>
      <c r="AA90" s="3" t="s">
        <v>74</v>
      </c>
      <c r="AB90" s="3" t="s">
        <v>43</v>
      </c>
      <c r="AC90" s="4">
        <v>6858</v>
      </c>
      <c r="AD90" s="8">
        <f>AC90-R90</f>
      </c>
    </row>
    <row r="91" ht="20" customHeight="1" spans="1:30" x14ac:dyDescent="0.25">
      <c r="A91" s="2">
        <v>90</v>
      </c>
      <c r="B91" s="3" t="s">
        <v>30</v>
      </c>
      <c r="C91" s="3" t="s">
        <v>31</v>
      </c>
      <c r="D91" s="2" t="s">
        <v>348</v>
      </c>
      <c r="E91" s="2" t="s">
        <v>45</v>
      </c>
      <c r="F91" s="3" t="s">
        <v>46</v>
      </c>
      <c r="G91" s="3" t="s">
        <v>61</v>
      </c>
      <c r="H91" s="3" t="s">
        <v>84</v>
      </c>
      <c r="I91" s="4">
        <f>(1490.00*4.5)+(0.00*9)</f>
      </c>
      <c r="J91" s="4">
        <f>0.00+0.00</f>
      </c>
      <c r="K91" s="4">
        <v>5000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5">
        <f>SUM(I91:Q91)</f>
      </c>
      <c r="S91" s="6">
        <v>0</v>
      </c>
      <c r="T91" s="7">
        <f>R91-S91</f>
      </c>
      <c r="U91" s="3" t="s">
        <v>37</v>
      </c>
      <c r="V91" s="3" t="s">
        <v>38</v>
      </c>
      <c r="W91" s="3" t="s">
        <v>349</v>
      </c>
      <c r="X91" s="3" t="s">
        <v>40</v>
      </c>
      <c r="Y91" s="3" t="s">
        <v>41</v>
      </c>
      <c r="Z91" s="3" t="s">
        <v>37</v>
      </c>
      <c r="AA91" s="3" t="s">
        <v>96</v>
      </c>
      <c r="AB91" s="3" t="s">
        <v>43</v>
      </c>
      <c r="AC91" s="4">
        <v>11905</v>
      </c>
      <c r="AD91" s="8">
        <f>AC91-R91</f>
      </c>
    </row>
    <row r="92" ht="20" customHeight="1" spans="1:30" x14ac:dyDescent="0.25">
      <c r="A92" s="2">
        <v>91</v>
      </c>
      <c r="B92" s="3" t="s">
        <v>30</v>
      </c>
      <c r="C92" s="3" t="s">
        <v>31</v>
      </c>
      <c r="D92" s="2" t="s">
        <v>350</v>
      </c>
      <c r="E92" s="2" t="s">
        <v>33</v>
      </c>
      <c r="F92" s="3" t="s">
        <v>160</v>
      </c>
      <c r="G92" s="3" t="s">
        <v>61</v>
      </c>
      <c r="H92" s="3" t="s">
        <v>351</v>
      </c>
      <c r="I92" s="4">
        <f>(160.00*4.5)+(0.00*9)</f>
      </c>
      <c r="J92" s="4">
        <f>2170.00+5550.00</f>
      </c>
      <c r="K92" s="4">
        <v>8380</v>
      </c>
      <c r="L92" s="4">
        <v>0</v>
      </c>
      <c r="M92" s="4">
        <v>0</v>
      </c>
      <c r="N92" s="4">
        <v>10800</v>
      </c>
      <c r="O92" s="4">
        <v>0</v>
      </c>
      <c r="P92" s="4">
        <v>0</v>
      </c>
      <c r="Q92" s="4">
        <v>0</v>
      </c>
      <c r="R92" s="5">
        <f>SUM(I92:Q92)</f>
      </c>
      <c r="S92" s="6">
        <v>0</v>
      </c>
      <c r="T92" s="7">
        <f>R92-S92</f>
      </c>
      <c r="U92" s="3" t="s">
        <v>37</v>
      </c>
      <c r="V92" s="3" t="s">
        <v>38</v>
      </c>
      <c r="W92" s="3" t="s">
        <v>352</v>
      </c>
      <c r="X92" s="3" t="s">
        <v>40</v>
      </c>
      <c r="Y92" s="3" t="s">
        <v>41</v>
      </c>
      <c r="Z92" s="3" t="s">
        <v>37</v>
      </c>
      <c r="AA92" s="3" t="s">
        <v>156</v>
      </c>
      <c r="AB92" s="3" t="s">
        <v>43</v>
      </c>
      <c r="AC92" s="4">
        <v>27622</v>
      </c>
      <c r="AD92" s="8">
        <f>AC92-R92</f>
      </c>
    </row>
    <row r="93" ht="20" customHeight="1" spans="1:30" x14ac:dyDescent="0.25">
      <c r="A93" s="2">
        <v>92</v>
      </c>
      <c r="B93" s="3" t="s">
        <v>30</v>
      </c>
      <c r="C93" s="3" t="s">
        <v>31</v>
      </c>
      <c r="D93" s="2" t="s">
        <v>353</v>
      </c>
      <c r="E93" s="2" t="s">
        <v>52</v>
      </c>
      <c r="F93" s="3" t="s">
        <v>53</v>
      </c>
      <c r="G93" s="3" t="s">
        <v>47</v>
      </c>
      <c r="H93" s="3" t="s">
        <v>354</v>
      </c>
      <c r="I93" s="4">
        <f>(2049.00*4.5)+(0.00*9)</f>
      </c>
      <c r="J93" s="4">
        <f>1000.00+0.00</f>
      </c>
      <c r="K93" s="4">
        <v>3450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5">
        <f>SUM(I93:Q93)</f>
      </c>
      <c r="S93" s="6">
        <v>0</v>
      </c>
      <c r="T93" s="7">
        <f>R93-S93</f>
      </c>
      <c r="U93" s="3" t="s">
        <v>37</v>
      </c>
      <c r="V93" s="3" t="s">
        <v>38</v>
      </c>
      <c r="W93" s="3" t="s">
        <v>355</v>
      </c>
      <c r="X93" s="3" t="s">
        <v>40</v>
      </c>
      <c r="Y93" s="3" t="s">
        <v>41</v>
      </c>
      <c r="Z93" s="3" t="s">
        <v>37</v>
      </c>
      <c r="AA93" s="3" t="s">
        <v>48</v>
      </c>
      <c r="AB93" s="3" t="s">
        <v>43</v>
      </c>
      <c r="AC93" s="4">
        <v>13985.5</v>
      </c>
      <c r="AD93" s="8">
        <f>AC93-R93</f>
      </c>
    </row>
    <row r="94" ht="20" customHeight="1" spans="1:30" x14ac:dyDescent="0.25">
      <c r="A94" s="2">
        <v>93</v>
      </c>
      <c r="B94" s="3" t="s">
        <v>30</v>
      </c>
      <c r="C94" s="3" t="s">
        <v>31</v>
      </c>
      <c r="D94" s="2" t="s">
        <v>356</v>
      </c>
      <c r="E94" s="2" t="s">
        <v>59</v>
      </c>
      <c r="F94" s="3" t="s">
        <v>81</v>
      </c>
      <c r="G94" s="3" t="s">
        <v>54</v>
      </c>
      <c r="H94" s="3" t="s">
        <v>357</v>
      </c>
      <c r="I94" s="4">
        <f>(32.00*4.5)+(0.00*9)</f>
      </c>
      <c r="J94" s="4">
        <f>0.00+0.00</f>
      </c>
      <c r="K94" s="4">
        <v>3000</v>
      </c>
      <c r="L94" s="4">
        <v>0</v>
      </c>
      <c r="M94" s="4">
        <v>0</v>
      </c>
      <c r="N94" s="4">
        <v>0</v>
      </c>
      <c r="O94" s="4">
        <v>0</v>
      </c>
      <c r="P94" s="4">
        <v>480</v>
      </c>
      <c r="Q94" s="4">
        <v>0</v>
      </c>
      <c r="R94" s="5">
        <f>SUM(I94:Q94)</f>
      </c>
      <c r="S94" s="6">
        <v>0</v>
      </c>
      <c r="T94" s="7">
        <f>R94-S94</f>
      </c>
      <c r="U94" s="3" t="s">
        <v>37</v>
      </c>
      <c r="V94" s="3" t="s">
        <v>38</v>
      </c>
      <c r="W94" s="3" t="s">
        <v>358</v>
      </c>
      <c r="X94" s="3" t="s">
        <v>40</v>
      </c>
      <c r="Y94" s="3" t="s">
        <v>41</v>
      </c>
      <c r="Z94" s="3" t="s">
        <v>37</v>
      </c>
      <c r="AA94" s="3" t="s">
        <v>258</v>
      </c>
      <c r="AB94" s="3" t="s">
        <v>43</v>
      </c>
      <c r="AC94" s="4">
        <v>3633</v>
      </c>
      <c r="AD94" s="8">
        <f>AC94-R94</f>
      </c>
    </row>
    <row r="95" ht="20" customHeight="1" spans="1:30" x14ac:dyDescent="0.25">
      <c r="A95" s="2">
        <v>94</v>
      </c>
      <c r="B95" s="3" t="s">
        <v>30</v>
      </c>
      <c r="C95" s="3" t="s">
        <v>31</v>
      </c>
      <c r="D95" s="2" t="s">
        <v>359</v>
      </c>
      <c r="E95" s="2" t="s">
        <v>52</v>
      </c>
      <c r="F95" s="3" t="s">
        <v>53</v>
      </c>
      <c r="G95" s="3" t="s">
        <v>47</v>
      </c>
      <c r="H95" s="3" t="s">
        <v>360</v>
      </c>
      <c r="I95" s="4">
        <f>(12.50*4.5)+(0.00*9)</f>
      </c>
      <c r="J95" s="4">
        <f>1020.00+0.00</f>
      </c>
      <c r="K95" s="4">
        <v>4200</v>
      </c>
      <c r="L95" s="4">
        <v>180</v>
      </c>
      <c r="M95" s="4">
        <v>0</v>
      </c>
      <c r="N95" s="4">
        <v>0</v>
      </c>
      <c r="O95" s="4">
        <v>430</v>
      </c>
      <c r="P95" s="4">
        <v>0</v>
      </c>
      <c r="Q95" s="4">
        <v>0</v>
      </c>
      <c r="R95" s="5">
        <f>SUM(I95:Q95)</f>
      </c>
      <c r="S95" s="6">
        <v>0</v>
      </c>
      <c r="T95" s="7">
        <f>R95-S95</f>
      </c>
      <c r="U95" s="3" t="s">
        <v>37</v>
      </c>
      <c r="V95" s="3" t="s">
        <v>38</v>
      </c>
      <c r="W95" s="3" t="s">
        <v>361</v>
      </c>
      <c r="X95" s="3" t="s">
        <v>40</v>
      </c>
      <c r="Y95" s="3" t="s">
        <v>41</v>
      </c>
      <c r="Z95" s="3" t="s">
        <v>37</v>
      </c>
      <c r="AA95" s="3" t="s">
        <v>362</v>
      </c>
      <c r="AB95" s="3" t="s">
        <v>43</v>
      </c>
      <c r="AC95" s="4">
        <v>6286.25</v>
      </c>
      <c r="AD95" s="8">
        <f>AC95-R95</f>
      </c>
    </row>
    <row r="96" ht="20" customHeight="1" spans="1:30" x14ac:dyDescent="0.25">
      <c r="A96" s="2">
        <v>95</v>
      </c>
      <c r="B96" s="3" t="s">
        <v>30</v>
      </c>
      <c r="C96" s="3" t="s">
        <v>31</v>
      </c>
      <c r="D96" s="2" t="s">
        <v>363</v>
      </c>
      <c r="E96" s="2" t="s">
        <v>52</v>
      </c>
      <c r="F96" s="3" t="s">
        <v>53</v>
      </c>
      <c r="G96" s="3" t="s">
        <v>35</v>
      </c>
      <c r="H96" s="3" t="s">
        <v>364</v>
      </c>
      <c r="I96" s="4">
        <f>(805.00*4.5)+(0.00*9)</f>
      </c>
      <c r="J96" s="4">
        <f>510.00+1650.00</f>
      </c>
      <c r="K96" s="4">
        <v>2850</v>
      </c>
      <c r="L96" s="4">
        <v>100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5">
        <f>SUM(I96:Q96)</f>
      </c>
      <c r="S96" s="6">
        <v>0</v>
      </c>
      <c r="T96" s="7">
        <f>R96-S96</f>
      </c>
      <c r="U96" s="3" t="s">
        <v>37</v>
      </c>
      <c r="V96" s="3" t="s">
        <v>38</v>
      </c>
      <c r="W96" s="3" t="s">
        <v>365</v>
      </c>
      <c r="X96" s="3" t="s">
        <v>40</v>
      </c>
      <c r="Y96" s="3" t="s">
        <v>41</v>
      </c>
      <c r="Z96" s="3" t="s">
        <v>37</v>
      </c>
      <c r="AA96" s="3" t="s">
        <v>230</v>
      </c>
      <c r="AB96" s="3" t="s">
        <v>43</v>
      </c>
      <c r="AC96" s="4">
        <v>8817.5</v>
      </c>
      <c r="AD96" s="8">
        <f>AC96-R96</f>
      </c>
    </row>
    <row r="97" ht="20" customHeight="1" spans="1:30" x14ac:dyDescent="0.25">
      <c r="A97" s="2">
        <v>96</v>
      </c>
      <c r="B97" s="3" t="s">
        <v>30</v>
      </c>
      <c r="C97" s="3" t="s">
        <v>31</v>
      </c>
      <c r="D97" s="2" t="s">
        <v>366</v>
      </c>
      <c r="E97" s="2" t="s">
        <v>52</v>
      </c>
      <c r="F97" s="3" t="s">
        <v>53</v>
      </c>
      <c r="G97" s="3" t="s">
        <v>35</v>
      </c>
      <c r="H97" s="3" t="s">
        <v>367</v>
      </c>
      <c r="I97" s="4">
        <f>(440.00*4.5)+(0.00*9)</f>
      </c>
      <c r="J97" s="4">
        <f>0.00+0.00</f>
      </c>
      <c r="K97" s="4">
        <v>750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5">
        <f>SUM(I97:Q97)</f>
      </c>
      <c r="S97" s="6">
        <v>0</v>
      </c>
      <c r="T97" s="7">
        <f>R97-S97</f>
      </c>
      <c r="U97" s="3" t="s">
        <v>37</v>
      </c>
      <c r="V97" s="3" t="s">
        <v>38</v>
      </c>
      <c r="W97" s="3" t="s">
        <v>368</v>
      </c>
      <c r="X97" s="3" t="s">
        <v>40</v>
      </c>
      <c r="Y97" s="3" t="s">
        <v>41</v>
      </c>
      <c r="Z97" s="3" t="s">
        <v>37</v>
      </c>
      <c r="AA97" s="3" t="s">
        <v>230</v>
      </c>
      <c r="AB97" s="3" t="s">
        <v>43</v>
      </c>
      <c r="AC97" s="4">
        <v>3513</v>
      </c>
      <c r="AD97" s="8">
        <f>AC97-R97</f>
      </c>
    </row>
    <row r="98" ht="20" customHeight="1" spans="1:30" x14ac:dyDescent="0.25">
      <c r="A98" s="2">
        <v>97</v>
      </c>
      <c r="B98" s="3" t="s">
        <v>30</v>
      </c>
      <c r="C98" s="3" t="s">
        <v>31</v>
      </c>
      <c r="D98" s="2" t="s">
        <v>369</v>
      </c>
      <c r="E98" s="2" t="s">
        <v>33</v>
      </c>
      <c r="F98" s="3" t="s">
        <v>370</v>
      </c>
      <c r="G98" s="3" t="s">
        <v>47</v>
      </c>
      <c r="H98" s="3" t="s">
        <v>371</v>
      </c>
      <c r="I98" s="4">
        <f>(0.00*4.5)+(0.00*9)</f>
      </c>
      <c r="J98" s="4">
        <f>610.00+1100.00</f>
      </c>
      <c r="K98" s="4">
        <v>3700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5">
        <f>SUM(I98:Q98)</f>
      </c>
      <c r="S98" s="6">
        <v>0</v>
      </c>
      <c r="T98" s="7">
        <f>R98-S98</f>
      </c>
      <c r="U98" s="3" t="s">
        <v>37</v>
      </c>
      <c r="V98" s="3" t="s">
        <v>38</v>
      </c>
      <c r="W98" s="3" t="s">
        <v>372</v>
      </c>
      <c r="X98" s="3" t="s">
        <v>40</v>
      </c>
      <c r="Y98" s="3" t="s">
        <v>41</v>
      </c>
      <c r="Z98" s="3" t="s">
        <v>37</v>
      </c>
      <c r="AA98" s="3" t="s">
        <v>50</v>
      </c>
      <c r="AB98" s="3" t="s">
        <v>43</v>
      </c>
      <c r="AC98" s="4">
        <v>5730</v>
      </c>
      <c r="AD98" s="8">
        <f>AC98-R98</f>
      </c>
    </row>
    <row r="99" ht="20" customHeight="1" spans="1:30" x14ac:dyDescent="0.25">
      <c r="A99" s="2">
        <v>98</v>
      </c>
      <c r="B99" s="3" t="s">
        <v>30</v>
      </c>
      <c r="C99" s="3" t="s">
        <v>31</v>
      </c>
      <c r="D99" s="2" t="s">
        <v>373</v>
      </c>
      <c r="E99" s="2" t="s">
        <v>45</v>
      </c>
      <c r="F99" s="3" t="s">
        <v>46</v>
      </c>
      <c r="G99" s="3" t="s">
        <v>54</v>
      </c>
      <c r="H99" s="3" t="s">
        <v>258</v>
      </c>
      <c r="I99" s="4">
        <f>(0.00*4.5)+(0.00*9)</f>
      </c>
      <c r="J99" s="4">
        <f>0.00+0.00</f>
      </c>
      <c r="K99" s="4">
        <v>4000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5">
        <f>SUM(I99:Q99)</f>
      </c>
      <c r="S99" s="6">
        <v>0</v>
      </c>
      <c r="T99" s="7">
        <f>R99-S99</f>
      </c>
      <c r="U99" s="3" t="s">
        <v>37</v>
      </c>
      <c r="V99" s="3" t="s">
        <v>38</v>
      </c>
      <c r="W99" s="3" t="s">
        <v>374</v>
      </c>
      <c r="X99" s="3" t="s">
        <v>40</v>
      </c>
      <c r="Y99" s="3" t="s">
        <v>41</v>
      </c>
      <c r="Z99" s="3" t="s">
        <v>37</v>
      </c>
      <c r="AA99" s="3" t="s">
        <v>74</v>
      </c>
      <c r="AB99" s="3" t="s">
        <v>43</v>
      </c>
      <c r="AC99" s="4">
        <v>4365</v>
      </c>
      <c r="AD99" s="8">
        <f>AC99-R99</f>
      </c>
    </row>
    <row r="100" ht="20" customHeight="1" spans="1:30" x14ac:dyDescent="0.25">
      <c r="A100" s="2">
        <v>99</v>
      </c>
      <c r="B100" s="3" t="s">
        <v>30</v>
      </c>
      <c r="C100" s="3" t="s">
        <v>31</v>
      </c>
      <c r="D100" s="2" t="s">
        <v>375</v>
      </c>
      <c r="E100" s="2" t="s">
        <v>33</v>
      </c>
      <c r="F100" s="3" t="s">
        <v>119</v>
      </c>
      <c r="G100" s="3" t="s">
        <v>54</v>
      </c>
      <c r="H100" s="3" t="s">
        <v>376</v>
      </c>
      <c r="I100" s="4">
        <f>(237.00*4.5)+(0.00*9)</f>
      </c>
      <c r="J100" s="4">
        <f>1000.00+1609.80</f>
      </c>
      <c r="K100" s="4">
        <v>4700</v>
      </c>
      <c r="L100" s="4">
        <v>299</v>
      </c>
      <c r="M100" s="4">
        <v>0</v>
      </c>
      <c r="N100" s="4">
        <v>2850</v>
      </c>
      <c r="O100" s="4">
        <v>0</v>
      </c>
      <c r="P100" s="4">
        <v>844</v>
      </c>
      <c r="Q100" s="4">
        <v>0</v>
      </c>
      <c r="R100" s="5">
        <f>SUM(I100:Q100)</f>
      </c>
      <c r="S100" s="6">
        <v>0</v>
      </c>
      <c r="T100" s="7">
        <f>R100-S100</f>
      </c>
      <c r="U100" s="3" t="s">
        <v>37</v>
      </c>
      <c r="V100" s="3" t="s">
        <v>38</v>
      </c>
      <c r="W100" s="3" t="s">
        <v>377</v>
      </c>
      <c r="X100" s="3" t="s">
        <v>40</v>
      </c>
      <c r="Y100" s="3" t="s">
        <v>41</v>
      </c>
      <c r="Z100" s="3" t="s">
        <v>37</v>
      </c>
      <c r="AA100" s="3" t="s">
        <v>258</v>
      </c>
      <c r="AB100" s="3" t="s">
        <v>43</v>
      </c>
      <c r="AC100" s="4">
        <v>12929.55</v>
      </c>
      <c r="AD100" s="8">
        <f>AC100-R100</f>
      </c>
    </row>
    <row r="101" ht="20" customHeight="1" spans="1:30" x14ac:dyDescent="0.25">
      <c r="A101" s="2">
        <v>100</v>
      </c>
      <c r="B101" s="3" t="s">
        <v>30</v>
      </c>
      <c r="C101" s="3" t="s">
        <v>31</v>
      </c>
      <c r="D101" s="2" t="s">
        <v>378</v>
      </c>
      <c r="E101" s="2" t="s">
        <v>52</v>
      </c>
      <c r="F101" s="3" t="s">
        <v>81</v>
      </c>
      <c r="G101" s="3" t="s">
        <v>54</v>
      </c>
      <c r="H101" s="3" t="s">
        <v>379</v>
      </c>
      <c r="I101" s="4">
        <f>(1208.00*4.5)+(0.00*9)</f>
      </c>
      <c r="J101" s="4">
        <f>0.00+0.00</f>
      </c>
      <c r="K101" s="4">
        <v>3900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5">
        <f>SUM(I101:Q101)</f>
      </c>
      <c r="S101" s="6">
        <v>0</v>
      </c>
      <c r="T101" s="7">
        <f>R101-S101</f>
      </c>
      <c r="U101" s="3" t="s">
        <v>37</v>
      </c>
      <c r="V101" s="3" t="s">
        <v>38</v>
      </c>
      <c r="W101" s="3" t="s">
        <v>380</v>
      </c>
      <c r="X101" s="3" t="s">
        <v>40</v>
      </c>
      <c r="Y101" s="3" t="s">
        <v>41</v>
      </c>
      <c r="Z101" s="3" t="s">
        <v>37</v>
      </c>
      <c r="AA101" s="3" t="s">
        <v>265</v>
      </c>
      <c r="AB101" s="3" t="s">
        <v>43</v>
      </c>
      <c r="AC101" s="4">
        <v>9336</v>
      </c>
      <c r="AD101" s="8">
        <f>AC101-R101</f>
      </c>
    </row>
    <row r="102" ht="20" customHeight="1" spans="1:30" x14ac:dyDescent="0.25">
      <c r="A102" s="2">
        <v>101</v>
      </c>
      <c r="B102" s="3" t="s">
        <v>30</v>
      </c>
      <c r="C102" s="3" t="s">
        <v>31</v>
      </c>
      <c r="D102" s="2" t="s">
        <v>381</v>
      </c>
      <c r="E102" s="2" t="s">
        <v>33</v>
      </c>
      <c r="F102" s="3" t="s">
        <v>76</v>
      </c>
      <c r="G102" s="3" t="s">
        <v>35</v>
      </c>
      <c r="H102" s="3" t="s">
        <v>382</v>
      </c>
      <c r="I102" s="4">
        <f>(808.00*4.5)+(0.00*9)</f>
      </c>
      <c r="J102" s="4">
        <f>0.00+0.00</f>
      </c>
      <c r="K102" s="4">
        <v>2600</v>
      </c>
      <c r="L102" s="4">
        <v>0</v>
      </c>
      <c r="M102" s="4">
        <v>600</v>
      </c>
      <c r="N102" s="4">
        <v>0</v>
      </c>
      <c r="O102" s="4">
        <v>0</v>
      </c>
      <c r="P102" s="4">
        <v>0</v>
      </c>
      <c r="Q102" s="4">
        <v>0</v>
      </c>
      <c r="R102" s="5">
        <f>SUM(I102:Q102)</f>
      </c>
      <c r="S102" s="6">
        <v>0</v>
      </c>
      <c r="T102" s="7">
        <f>R102-S102</f>
      </c>
      <c r="U102" s="3" t="s">
        <v>37</v>
      </c>
      <c r="V102" s="3" t="s">
        <v>38</v>
      </c>
      <c r="W102" s="3" t="s">
        <v>383</v>
      </c>
      <c r="X102" s="3" t="s">
        <v>40</v>
      </c>
      <c r="Y102" s="3" t="s">
        <v>41</v>
      </c>
      <c r="Z102" s="3" t="s">
        <v>37</v>
      </c>
      <c r="AA102" s="3" t="s">
        <v>42</v>
      </c>
      <c r="AB102" s="3" t="s">
        <v>43</v>
      </c>
      <c r="AC102" s="4">
        <v>10431</v>
      </c>
      <c r="AD102" s="8">
        <f>AC102-R102</f>
      </c>
    </row>
    <row r="103" ht="20" customHeight="1" spans="1:30" x14ac:dyDescent="0.25">
      <c r="A103" s="2">
        <v>102</v>
      </c>
      <c r="B103" s="3" t="s">
        <v>30</v>
      </c>
      <c r="C103" s="3" t="s">
        <v>31</v>
      </c>
      <c r="D103" s="2" t="s">
        <v>384</v>
      </c>
      <c r="E103" s="2" t="s">
        <v>385</v>
      </c>
      <c r="F103" s="3" t="s">
        <v>386</v>
      </c>
      <c r="G103" s="3" t="s">
        <v>54</v>
      </c>
      <c r="H103" s="3" t="s">
        <v>74</v>
      </c>
      <c r="I103" s="4">
        <f>(819.50*4.5)+(0.00*9)</f>
      </c>
      <c r="J103" s="4">
        <f>0.00+0.00</f>
      </c>
      <c r="K103" s="4">
        <v>5250</v>
      </c>
      <c r="L103" s="4">
        <v>1513</v>
      </c>
      <c r="M103" s="4">
        <v>0</v>
      </c>
      <c r="N103" s="4">
        <v>0</v>
      </c>
      <c r="O103" s="4">
        <v>0</v>
      </c>
      <c r="P103" s="4">
        <v>1361</v>
      </c>
      <c r="Q103" s="4">
        <v>0</v>
      </c>
      <c r="R103" s="5">
        <f>SUM(I103:Q103)</f>
      </c>
      <c r="S103" s="6">
        <v>0</v>
      </c>
      <c r="T103" s="7">
        <f>R103-S103</f>
      </c>
      <c r="U103" s="3" t="s">
        <v>37</v>
      </c>
      <c r="V103" s="3" t="s">
        <v>38</v>
      </c>
      <c r="W103" s="3" t="s">
        <v>387</v>
      </c>
      <c r="X103" s="3" t="s">
        <v>40</v>
      </c>
      <c r="Y103" s="3" t="s">
        <v>41</v>
      </c>
      <c r="Z103" s="3" t="s">
        <v>37</v>
      </c>
      <c r="AA103" s="3" t="s">
        <v>236</v>
      </c>
      <c r="AB103" s="3" t="s">
        <v>43</v>
      </c>
      <c r="AC103" s="4">
        <v>12505.75</v>
      </c>
      <c r="AD103" s="8">
        <f>AC103-R103</f>
      </c>
    </row>
    <row r="104" ht="20" customHeight="1" spans="1:30" x14ac:dyDescent="0.25">
      <c r="A104" s="2">
        <v>103</v>
      </c>
      <c r="B104" s="3" t="s">
        <v>30</v>
      </c>
      <c r="C104" s="3" t="s">
        <v>31</v>
      </c>
      <c r="D104" s="2" t="s">
        <v>388</v>
      </c>
      <c r="E104" s="2" t="s">
        <v>45</v>
      </c>
      <c r="F104" s="3" t="s">
        <v>370</v>
      </c>
      <c r="G104" s="3" t="s">
        <v>54</v>
      </c>
      <c r="H104" s="3" t="s">
        <v>389</v>
      </c>
      <c r="I104" s="4">
        <f>(2877.00*4.5)+(0.00*9)</f>
      </c>
      <c r="J104" s="4">
        <f>740.00+0.00</f>
      </c>
      <c r="K104" s="4">
        <v>4800</v>
      </c>
      <c r="L104" s="4">
        <v>0</v>
      </c>
      <c r="M104" s="4">
        <v>0</v>
      </c>
      <c r="N104" s="4">
        <v>0</v>
      </c>
      <c r="O104" s="4">
        <v>0</v>
      </c>
      <c r="P104" s="4">
        <v>381</v>
      </c>
      <c r="Q104" s="4">
        <v>0</v>
      </c>
      <c r="R104" s="5">
        <f>SUM(I104:Q104)</f>
      </c>
      <c r="S104" s="6">
        <v>0</v>
      </c>
      <c r="T104" s="7">
        <f>R104-S104</f>
      </c>
      <c r="U104" s="3" t="s">
        <v>37</v>
      </c>
      <c r="V104" s="3" t="s">
        <v>38</v>
      </c>
      <c r="W104" s="3" t="s">
        <v>390</v>
      </c>
      <c r="X104" s="3" t="s">
        <v>40</v>
      </c>
      <c r="Y104" s="3" t="s">
        <v>41</v>
      </c>
      <c r="Z104" s="3" t="s">
        <v>37</v>
      </c>
      <c r="AA104" s="3" t="s">
        <v>79</v>
      </c>
      <c r="AB104" s="3" t="s">
        <v>43</v>
      </c>
      <c r="AC104" s="4">
        <v>18867.5</v>
      </c>
      <c r="AD104" s="8">
        <f>AC104-R104</f>
      </c>
    </row>
    <row r="105" ht="20" customHeight="1" spans="1:30" x14ac:dyDescent="0.25">
      <c r="A105" s="2">
        <v>104</v>
      </c>
      <c r="B105" s="3" t="s">
        <v>30</v>
      </c>
      <c r="C105" s="3" t="s">
        <v>31</v>
      </c>
      <c r="D105" s="2" t="s">
        <v>391</v>
      </c>
      <c r="E105" s="2" t="s">
        <v>59</v>
      </c>
      <c r="F105" s="3" t="s">
        <v>392</v>
      </c>
      <c r="G105" s="3" t="s">
        <v>35</v>
      </c>
      <c r="H105" s="3" t="s">
        <v>393</v>
      </c>
      <c r="I105" s="4">
        <f>(512.00*4.5)+(0.00*9)</f>
      </c>
      <c r="J105" s="4">
        <f>0.00+0.00</f>
      </c>
      <c r="K105" s="4">
        <v>1950</v>
      </c>
      <c r="L105" s="4">
        <v>1921</v>
      </c>
      <c r="M105" s="4">
        <v>550</v>
      </c>
      <c r="N105" s="4">
        <v>0</v>
      </c>
      <c r="O105" s="4">
        <v>0</v>
      </c>
      <c r="P105" s="4">
        <v>270</v>
      </c>
      <c r="Q105" s="4">
        <v>0</v>
      </c>
      <c r="R105" s="5">
        <f>SUM(I105:Q105)</f>
      </c>
      <c r="S105" s="6">
        <v>0</v>
      </c>
      <c r="T105" s="7">
        <f>R105-S105</f>
      </c>
      <c r="U105" s="3" t="s">
        <v>37</v>
      </c>
      <c r="V105" s="3" t="s">
        <v>38</v>
      </c>
      <c r="W105" s="3" t="s">
        <v>394</v>
      </c>
      <c r="X105" s="3" t="s">
        <v>40</v>
      </c>
      <c r="Y105" s="3" t="s">
        <v>41</v>
      </c>
      <c r="Z105" s="3" t="s">
        <v>37</v>
      </c>
      <c r="AA105" s="3" t="s">
        <v>230</v>
      </c>
      <c r="AB105" s="3" t="s">
        <v>43</v>
      </c>
      <c r="AC105" s="4">
        <v>7745</v>
      </c>
      <c r="AD105" s="8">
        <f>AC105-R105</f>
      </c>
    </row>
    <row r="106" ht="20" customHeight="1" spans="1:30" x14ac:dyDescent="0.25">
      <c r="A106" s="2">
        <v>105</v>
      </c>
      <c r="B106" s="3" t="s">
        <v>30</v>
      </c>
      <c r="C106" s="3" t="s">
        <v>31</v>
      </c>
      <c r="D106" s="2" t="s">
        <v>395</v>
      </c>
      <c r="E106" s="2" t="s">
        <v>52</v>
      </c>
      <c r="F106" s="3" t="s">
        <v>53</v>
      </c>
      <c r="G106" s="3" t="s">
        <v>61</v>
      </c>
      <c r="H106" s="3" t="s">
        <v>396</v>
      </c>
      <c r="I106" s="4">
        <f>(1850.00*4.5)+(0.00*9)</f>
      </c>
      <c r="J106" s="4">
        <f>0.00+500.00</f>
      </c>
      <c r="K106" s="4">
        <v>3200</v>
      </c>
      <c r="L106" s="4">
        <v>0</v>
      </c>
      <c r="M106" s="4">
        <v>310</v>
      </c>
      <c r="N106" s="4">
        <v>0</v>
      </c>
      <c r="O106" s="4">
        <v>0</v>
      </c>
      <c r="P106" s="4">
        <v>300</v>
      </c>
      <c r="Q106" s="4">
        <v>0</v>
      </c>
      <c r="R106" s="5">
        <f>SUM(I106:Q106)</f>
      </c>
      <c r="S106" s="6">
        <v>0</v>
      </c>
      <c r="T106" s="7">
        <f>R106-S106</f>
      </c>
      <c r="U106" s="3" t="s">
        <v>37</v>
      </c>
      <c r="V106" s="3" t="s">
        <v>38</v>
      </c>
      <c r="W106" s="3" t="s">
        <v>397</v>
      </c>
      <c r="X106" s="3" t="s">
        <v>40</v>
      </c>
      <c r="Y106" s="3" t="s">
        <v>41</v>
      </c>
      <c r="Z106" s="3" t="s">
        <v>37</v>
      </c>
      <c r="AA106" s="3" t="s">
        <v>84</v>
      </c>
      <c r="AB106" s="3" t="s">
        <v>43</v>
      </c>
      <c r="AC106" s="4">
        <v>13160</v>
      </c>
      <c r="AD106" s="8">
        <f>AC106-R106</f>
      </c>
    </row>
    <row r="107" ht="20" customHeight="1" spans="1:30" x14ac:dyDescent="0.25">
      <c r="A107" s="2">
        <v>106</v>
      </c>
      <c r="B107" s="3" t="s">
        <v>30</v>
      </c>
      <c r="C107" s="3" t="s">
        <v>31</v>
      </c>
      <c r="D107" s="2" t="s">
        <v>398</v>
      </c>
      <c r="E107" s="2" t="s">
        <v>59</v>
      </c>
      <c r="F107" s="3" t="s">
        <v>81</v>
      </c>
      <c r="G107" s="3" t="s">
        <v>35</v>
      </c>
      <c r="H107" s="3" t="s">
        <v>399</v>
      </c>
      <c r="I107" s="4">
        <f>(0.00*4.5)+(0.00*9)</f>
      </c>
      <c r="J107" s="4">
        <f>1000.00+2500.00</f>
      </c>
      <c r="K107" s="4">
        <v>3900</v>
      </c>
      <c r="L107" s="4">
        <v>120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5">
        <f>SUM(I107:Q107)</f>
      </c>
      <c r="S107" s="6">
        <v>0</v>
      </c>
      <c r="T107" s="7">
        <f>R107-S107</f>
      </c>
      <c r="U107" s="3" t="s">
        <v>37</v>
      </c>
      <c r="V107" s="3" t="s">
        <v>38</v>
      </c>
      <c r="W107" s="3" t="s">
        <v>400</v>
      </c>
      <c r="X107" s="3" t="s">
        <v>40</v>
      </c>
      <c r="Y107" s="3" t="s">
        <v>41</v>
      </c>
      <c r="Z107" s="3" t="s">
        <v>37</v>
      </c>
      <c r="AA107" s="3" t="s">
        <v>401</v>
      </c>
      <c r="AB107" s="3" t="s">
        <v>43</v>
      </c>
      <c r="AC107" s="4">
        <v>7730</v>
      </c>
      <c r="AD107" s="8">
        <f>AC107-R107</f>
      </c>
    </row>
    <row r="108" ht="20" customHeight="1" spans="1:30" x14ac:dyDescent="0.25">
      <c r="A108" s="2">
        <v>107</v>
      </c>
      <c r="B108" s="3" t="s">
        <v>30</v>
      </c>
      <c r="C108" s="3" t="s">
        <v>31</v>
      </c>
      <c r="D108" s="2" t="s">
        <v>402</v>
      </c>
      <c r="E108" s="2" t="s">
        <v>33</v>
      </c>
      <c r="F108" s="3" t="s">
        <v>119</v>
      </c>
      <c r="G108" s="3" t="s">
        <v>47</v>
      </c>
      <c r="H108" s="3" t="s">
        <v>403</v>
      </c>
      <c r="I108" s="4">
        <f>(1923.00*4.5)+(0.00*9)</f>
      </c>
      <c r="J108" s="4">
        <f>0.00+0.00</f>
      </c>
      <c r="K108" s="4">
        <v>2850</v>
      </c>
      <c r="L108" s="4">
        <v>870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5">
        <f>SUM(I108:Q108)</f>
      </c>
      <c r="S108" s="6">
        <v>0</v>
      </c>
      <c r="T108" s="7">
        <f>R108-S108</f>
      </c>
      <c r="U108" s="3" t="s">
        <v>37</v>
      </c>
      <c r="V108" s="3" t="s">
        <v>38</v>
      </c>
      <c r="W108" s="3" t="s">
        <v>404</v>
      </c>
      <c r="X108" s="3" t="s">
        <v>40</v>
      </c>
      <c r="Y108" s="3" t="s">
        <v>41</v>
      </c>
      <c r="Z108" s="3" t="s">
        <v>37</v>
      </c>
      <c r="AA108" s="3" t="s">
        <v>86</v>
      </c>
      <c r="AB108" s="3" t="s">
        <v>43</v>
      </c>
      <c r="AC108" s="4">
        <v>12973.5</v>
      </c>
      <c r="AD108" s="8">
        <f>AC108-R108</f>
      </c>
    </row>
    <row r="109" ht="20" customHeight="1" spans="1:30" x14ac:dyDescent="0.25">
      <c r="A109" s="2">
        <v>108</v>
      </c>
      <c r="B109" s="3" t="s">
        <v>30</v>
      </c>
      <c r="C109" s="3" t="s">
        <v>31</v>
      </c>
      <c r="D109" s="2" t="s">
        <v>405</v>
      </c>
      <c r="E109" s="2" t="s">
        <v>66</v>
      </c>
      <c r="F109" s="3" t="s">
        <v>46</v>
      </c>
      <c r="G109" s="3" t="s">
        <v>35</v>
      </c>
      <c r="H109" s="3" t="s">
        <v>401</v>
      </c>
      <c r="I109" s="4">
        <f>(732.00*4.5)+(0.00*9)</f>
      </c>
      <c r="J109" s="4">
        <f>0.00+0.00</f>
      </c>
      <c r="K109" s="4">
        <v>2400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5">
        <f>SUM(I109:Q109)</f>
      </c>
      <c r="S109" s="6">
        <v>0</v>
      </c>
      <c r="T109" s="7">
        <f>R109-S109</f>
      </c>
      <c r="U109" s="3" t="s">
        <v>37</v>
      </c>
      <c r="V109" s="3" t="s">
        <v>38</v>
      </c>
      <c r="W109" s="3" t="s">
        <v>124</v>
      </c>
      <c r="X109" s="3" t="s">
        <v>40</v>
      </c>
      <c r="Y109" s="3" t="s">
        <v>41</v>
      </c>
      <c r="Z109" s="3" t="s">
        <v>37</v>
      </c>
      <c r="AA109" s="3" t="s">
        <v>401</v>
      </c>
      <c r="AB109" s="3" t="s">
        <v>43</v>
      </c>
      <c r="AC109" s="4">
        <v>5694</v>
      </c>
      <c r="AD109" s="8">
        <f>AC109-R109</f>
      </c>
    </row>
    <row r="110" ht="20" customHeight="1" spans="1:30" x14ac:dyDescent="0.25">
      <c r="A110" s="2">
        <v>109</v>
      </c>
      <c r="B110" s="3" t="s">
        <v>30</v>
      </c>
      <c r="C110" s="3" t="s">
        <v>31</v>
      </c>
      <c r="D110" s="2" t="s">
        <v>406</v>
      </c>
      <c r="E110" s="2" t="s">
        <v>52</v>
      </c>
      <c r="F110" s="3" t="s">
        <v>53</v>
      </c>
      <c r="G110" s="3" t="s">
        <v>54</v>
      </c>
      <c r="H110" s="3" t="s">
        <v>407</v>
      </c>
      <c r="I110" s="4">
        <f>(1947.00*4.5)+(0.00*9)</f>
      </c>
      <c r="J110" s="4">
        <f>0.00+598.00</f>
      </c>
      <c r="K110" s="4">
        <v>1800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5">
        <f>SUM(I110:Q110)</f>
      </c>
      <c r="S110" s="6">
        <v>0</v>
      </c>
      <c r="T110" s="7">
        <f>R110-S110</f>
      </c>
      <c r="U110" s="3" t="s">
        <v>37</v>
      </c>
      <c r="V110" s="3" t="s">
        <v>38</v>
      </c>
      <c r="W110" s="3" t="s">
        <v>37</v>
      </c>
      <c r="X110" s="3" t="s">
        <v>40</v>
      </c>
      <c r="Y110" s="3" t="s">
        <v>41</v>
      </c>
      <c r="Z110" s="3" t="s">
        <v>37</v>
      </c>
      <c r="AA110" s="3" t="s">
        <v>301</v>
      </c>
      <c r="AB110" s="3" t="s">
        <v>43</v>
      </c>
      <c r="AC110" s="4">
        <v>11159.5</v>
      </c>
      <c r="AD110" s="8">
        <f>AC110-R110</f>
      </c>
    </row>
    <row r="111" ht="20" customHeight="1" spans="1:30" x14ac:dyDescent="0.25">
      <c r="A111" s="2">
        <v>110</v>
      </c>
      <c r="B111" s="3" t="s">
        <v>30</v>
      </c>
      <c r="C111" s="3" t="s">
        <v>31</v>
      </c>
      <c r="D111" s="2" t="s">
        <v>408</v>
      </c>
      <c r="E111" s="2" t="s">
        <v>52</v>
      </c>
      <c r="F111" s="3" t="s">
        <v>160</v>
      </c>
      <c r="G111" s="3" t="s">
        <v>47</v>
      </c>
      <c r="H111" s="3" t="s">
        <v>409</v>
      </c>
      <c r="I111" s="4">
        <f>(805.00*4.5)+(0.00*9)</f>
      </c>
      <c r="J111" s="4">
        <f>2965.00+6480.00</f>
      </c>
      <c r="K111" s="4">
        <v>7050</v>
      </c>
      <c r="L111" s="4">
        <v>0</v>
      </c>
      <c r="M111" s="4">
        <v>0</v>
      </c>
      <c r="N111" s="4">
        <v>13910</v>
      </c>
      <c r="O111" s="4">
        <v>0</v>
      </c>
      <c r="P111" s="4">
        <v>299</v>
      </c>
      <c r="Q111" s="4">
        <v>0</v>
      </c>
      <c r="R111" s="5">
        <f>SUM(I111:Q111)</f>
      </c>
      <c r="S111" s="6">
        <v>0</v>
      </c>
      <c r="T111" s="7">
        <f>R111-S111</f>
      </c>
      <c r="U111" s="3" t="s">
        <v>37</v>
      </c>
      <c r="V111" s="3" t="s">
        <v>38</v>
      </c>
      <c r="W111" s="3" t="s">
        <v>410</v>
      </c>
      <c r="X111" s="3" t="s">
        <v>40</v>
      </c>
      <c r="Y111" s="3" t="s">
        <v>41</v>
      </c>
      <c r="Z111" s="3" t="s">
        <v>37</v>
      </c>
      <c r="AA111" s="3" t="s">
        <v>156</v>
      </c>
      <c r="AB111" s="3" t="s">
        <v>43</v>
      </c>
      <c r="AC111" s="4">
        <v>38436.5</v>
      </c>
      <c r="AD111" s="8">
        <f>AC111-R111</f>
      </c>
    </row>
    <row r="112" ht="20" customHeight="1" spans="1:30" x14ac:dyDescent="0.25">
      <c r="A112" s="2">
        <v>111</v>
      </c>
      <c r="B112" s="3" t="s">
        <v>30</v>
      </c>
      <c r="C112" s="3" t="s">
        <v>31</v>
      </c>
      <c r="D112" s="2" t="s">
        <v>411</v>
      </c>
      <c r="E112" s="2" t="s">
        <v>59</v>
      </c>
      <c r="F112" s="3" t="s">
        <v>81</v>
      </c>
      <c r="G112" s="3" t="s">
        <v>54</v>
      </c>
      <c r="H112" s="3" t="s">
        <v>412</v>
      </c>
      <c r="I112" s="4">
        <f>(1550.00*4.5)+(0.00*9)</f>
      </c>
      <c r="J112" s="4">
        <f>1000.00+1364.00</f>
      </c>
      <c r="K112" s="4">
        <v>3050</v>
      </c>
      <c r="L112" s="4">
        <v>100</v>
      </c>
      <c r="M112" s="4">
        <v>0</v>
      </c>
      <c r="N112" s="4">
        <v>2700</v>
      </c>
      <c r="O112" s="4">
        <v>0</v>
      </c>
      <c r="P112" s="4">
        <v>0</v>
      </c>
      <c r="Q112" s="4">
        <v>0</v>
      </c>
      <c r="R112" s="5">
        <f>SUM(I112:Q112)</f>
      </c>
      <c r="S112" s="6">
        <v>0</v>
      </c>
      <c r="T112" s="7">
        <f>R112-S112</f>
      </c>
      <c r="U112" s="3" t="s">
        <v>37</v>
      </c>
      <c r="V112" s="3" t="s">
        <v>38</v>
      </c>
      <c r="W112" s="3" t="s">
        <v>413</v>
      </c>
      <c r="X112" s="3" t="s">
        <v>40</v>
      </c>
      <c r="Y112" s="3" t="s">
        <v>41</v>
      </c>
      <c r="Z112" s="3" t="s">
        <v>37</v>
      </c>
      <c r="AA112" s="3" t="s">
        <v>79</v>
      </c>
      <c r="AB112" s="3" t="s">
        <v>43</v>
      </c>
      <c r="AC112" s="4">
        <v>17099</v>
      </c>
      <c r="AD112" s="8">
        <f>AC112-R112</f>
      </c>
    </row>
    <row r="113" ht="20" customHeight="1" spans="1:30" x14ac:dyDescent="0.25">
      <c r="A113" s="2">
        <v>112</v>
      </c>
      <c r="B113" s="3" t="s">
        <v>30</v>
      </c>
      <c r="C113" s="3" t="s">
        <v>31</v>
      </c>
      <c r="D113" s="2" t="s">
        <v>414</v>
      </c>
      <c r="E113" s="2" t="s">
        <v>52</v>
      </c>
      <c r="F113" s="3" t="s">
        <v>53</v>
      </c>
      <c r="G113" s="3" t="s">
        <v>54</v>
      </c>
      <c r="H113" s="3" t="s">
        <v>415</v>
      </c>
      <c r="I113" s="4">
        <f>(2756.00*4.5)+(0.00*9)</f>
      </c>
      <c r="J113" s="4">
        <f>100.00+0.00</f>
      </c>
      <c r="K113" s="4">
        <v>3450</v>
      </c>
      <c r="L113" s="4">
        <v>70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5">
        <f>SUM(I113:Q113)</f>
      </c>
      <c r="S113" s="6">
        <v>0</v>
      </c>
      <c r="T113" s="7">
        <f>R113-S113</f>
      </c>
      <c r="U113" s="3" t="s">
        <v>37</v>
      </c>
      <c r="V113" s="3" t="s">
        <v>38</v>
      </c>
      <c r="W113" s="3" t="s">
        <v>416</v>
      </c>
      <c r="X113" s="3" t="s">
        <v>40</v>
      </c>
      <c r="Y113" s="3" t="s">
        <v>41</v>
      </c>
      <c r="Z113" s="3" t="s">
        <v>37</v>
      </c>
      <c r="AA113" s="3" t="s">
        <v>79</v>
      </c>
      <c r="AB113" s="3" t="s">
        <v>43</v>
      </c>
      <c r="AC113" s="4">
        <v>17177</v>
      </c>
      <c r="AD113" s="8">
        <f>AC113-R113</f>
      </c>
    </row>
    <row r="114" ht="20" customHeight="1" spans="1:30" x14ac:dyDescent="0.25">
      <c r="A114" s="2">
        <v>113</v>
      </c>
      <c r="B114" s="3" t="s">
        <v>30</v>
      </c>
      <c r="C114" s="3" t="s">
        <v>31</v>
      </c>
      <c r="D114" s="2" t="s">
        <v>417</v>
      </c>
      <c r="E114" s="2" t="s">
        <v>45</v>
      </c>
      <c r="F114" s="3" t="s">
        <v>46</v>
      </c>
      <c r="G114" s="3" t="s">
        <v>54</v>
      </c>
      <c r="H114" s="3" t="s">
        <v>222</v>
      </c>
      <c r="I114" s="4">
        <f>(1493.00*4.5)+(0.00*9)</f>
      </c>
      <c r="J114" s="4">
        <f>200.00+0.00</f>
      </c>
      <c r="K114" s="4">
        <v>3000</v>
      </c>
      <c r="L114" s="4">
        <v>200</v>
      </c>
      <c r="M114" s="4">
        <v>200</v>
      </c>
      <c r="N114" s="4">
        <v>0</v>
      </c>
      <c r="O114" s="4">
        <v>0</v>
      </c>
      <c r="P114" s="4">
        <v>550</v>
      </c>
      <c r="Q114" s="4">
        <v>0</v>
      </c>
      <c r="R114" s="5">
        <f>SUM(I114:Q114)</f>
      </c>
      <c r="S114" s="6">
        <v>0</v>
      </c>
      <c r="T114" s="7">
        <f>R114-S114</f>
      </c>
      <c r="U114" s="3" t="s">
        <v>37</v>
      </c>
      <c r="V114" s="3" t="s">
        <v>38</v>
      </c>
      <c r="W114" s="3" t="s">
        <v>418</v>
      </c>
      <c r="X114" s="3" t="s">
        <v>40</v>
      </c>
      <c r="Y114" s="3" t="s">
        <v>41</v>
      </c>
      <c r="Z114" s="3" t="s">
        <v>37</v>
      </c>
      <c r="AA114" s="3" t="s">
        <v>74</v>
      </c>
      <c r="AB114" s="3" t="s">
        <v>43</v>
      </c>
      <c r="AC114" s="4">
        <v>13963.5</v>
      </c>
      <c r="AD114" s="8">
        <f>AC114-R114</f>
      </c>
    </row>
    <row r="115" ht="20" customHeight="1" spans="1:30" x14ac:dyDescent="0.25">
      <c r="A115" s="2">
        <v>114</v>
      </c>
      <c r="B115" s="3" t="s">
        <v>30</v>
      </c>
      <c r="C115" s="3" t="s">
        <v>31</v>
      </c>
      <c r="D115" s="2" t="s">
        <v>419</v>
      </c>
      <c r="E115" s="2" t="s">
        <v>59</v>
      </c>
      <c r="F115" s="3" t="s">
        <v>60</v>
      </c>
      <c r="G115" s="3" t="s">
        <v>61</v>
      </c>
      <c r="H115" s="3" t="s">
        <v>420</v>
      </c>
      <c r="I115" s="4">
        <f>(2630.00*4.5)+(0.00*9)</f>
      </c>
      <c r="J115" s="4">
        <f>400.00+1300.00</f>
      </c>
      <c r="K115" s="4">
        <v>5550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5">
        <f>SUM(I115:Q115)</f>
      </c>
      <c r="S115" s="6">
        <v>0</v>
      </c>
      <c r="T115" s="7">
        <f>R115-S115</f>
      </c>
      <c r="U115" s="3" t="s">
        <v>37</v>
      </c>
      <c r="V115" s="3" t="s">
        <v>38</v>
      </c>
      <c r="W115" s="3" t="s">
        <v>421</v>
      </c>
      <c r="X115" s="3" t="s">
        <v>40</v>
      </c>
      <c r="Y115" s="3" t="s">
        <v>41</v>
      </c>
      <c r="Z115" s="3" t="s">
        <v>37</v>
      </c>
      <c r="AA115" s="3" t="s">
        <v>96</v>
      </c>
      <c r="AB115" s="3" t="s">
        <v>43</v>
      </c>
      <c r="AC115" s="4">
        <v>19301</v>
      </c>
      <c r="AD115" s="8">
        <f>AC115-R115</f>
      </c>
    </row>
    <row r="116" ht="20" customHeight="1" spans="1:30" x14ac:dyDescent="0.25">
      <c r="A116" s="2">
        <v>115</v>
      </c>
      <c r="B116" s="3" t="s">
        <v>30</v>
      </c>
      <c r="C116" s="3" t="s">
        <v>31</v>
      </c>
      <c r="D116" s="2" t="s">
        <v>422</v>
      </c>
      <c r="E116" s="2" t="s">
        <v>45</v>
      </c>
      <c r="F116" s="3" t="s">
        <v>111</v>
      </c>
      <c r="G116" s="3" t="s">
        <v>61</v>
      </c>
      <c r="H116" s="3" t="s">
        <v>423</v>
      </c>
      <c r="I116" s="4">
        <f>(770.00*4.5)+(0.00*9)</f>
      </c>
      <c r="J116" s="4">
        <f>0.00+0.00</f>
      </c>
      <c r="K116" s="4">
        <v>2200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5">
        <f>SUM(I116:Q116)</f>
      </c>
      <c r="S116" s="6">
        <v>0</v>
      </c>
      <c r="T116" s="7">
        <f>R116-S116</f>
      </c>
      <c r="U116" s="3" t="s">
        <v>37</v>
      </c>
      <c r="V116" s="3" t="s">
        <v>38</v>
      </c>
      <c r="W116" s="3" t="s">
        <v>424</v>
      </c>
      <c r="X116" s="3" t="s">
        <v>40</v>
      </c>
      <c r="Y116" s="3" t="s">
        <v>41</v>
      </c>
      <c r="Z116" s="3" t="s">
        <v>37</v>
      </c>
      <c r="AA116" s="3" t="s">
        <v>96</v>
      </c>
      <c r="AB116" s="3" t="s">
        <v>43</v>
      </c>
      <c r="AC116" s="4">
        <v>5710</v>
      </c>
      <c r="AD116" s="8">
        <f>AC116-R116</f>
      </c>
    </row>
    <row r="117" ht="20" customHeight="1" spans="1:30" x14ac:dyDescent="0.25">
      <c r="A117" s="2">
        <v>116</v>
      </c>
      <c r="B117" s="3" t="s">
        <v>30</v>
      </c>
      <c r="C117" s="3" t="s">
        <v>31</v>
      </c>
      <c r="D117" s="2" t="s">
        <v>425</v>
      </c>
      <c r="E117" s="2" t="s">
        <v>52</v>
      </c>
      <c r="F117" s="3" t="s">
        <v>53</v>
      </c>
      <c r="G117" s="3" t="s">
        <v>35</v>
      </c>
      <c r="H117" s="3" t="s">
        <v>426</v>
      </c>
      <c r="I117" s="4">
        <f>(1404.00*4.5)+(0.00*9)</f>
      </c>
      <c r="J117" s="4">
        <f>0.00+0.00</f>
      </c>
      <c r="K117" s="4">
        <v>1800</v>
      </c>
      <c r="L117" s="4">
        <v>890</v>
      </c>
      <c r="M117" s="4">
        <v>550</v>
      </c>
      <c r="N117" s="4">
        <v>0</v>
      </c>
      <c r="O117" s="4">
        <v>0</v>
      </c>
      <c r="P117" s="4">
        <v>0</v>
      </c>
      <c r="Q117" s="4">
        <v>0</v>
      </c>
      <c r="R117" s="5">
        <f>SUM(I117:Q117)</f>
      </c>
      <c r="S117" s="6">
        <v>0</v>
      </c>
      <c r="T117" s="7">
        <f>R117-S117</f>
      </c>
      <c r="U117" s="3" t="s">
        <v>37</v>
      </c>
      <c r="V117" s="3" t="s">
        <v>38</v>
      </c>
      <c r="W117" s="3" t="s">
        <v>427</v>
      </c>
      <c r="X117" s="3" t="s">
        <v>40</v>
      </c>
      <c r="Y117" s="3" t="s">
        <v>41</v>
      </c>
      <c r="Z117" s="3" t="s">
        <v>37</v>
      </c>
      <c r="AA117" s="3" t="s">
        <v>230</v>
      </c>
      <c r="AB117" s="3" t="s">
        <v>43</v>
      </c>
      <c r="AC117" s="4">
        <v>11665.5</v>
      </c>
      <c r="AD117" s="8">
        <f>AC117-R117</f>
      </c>
    </row>
    <row r="118" ht="20" customHeight="1" spans="1:30" x14ac:dyDescent="0.25">
      <c r="A118" s="2">
        <v>117</v>
      </c>
      <c r="B118" s="3" t="s">
        <v>30</v>
      </c>
      <c r="C118" s="3" t="s">
        <v>31</v>
      </c>
      <c r="D118" s="2" t="s">
        <v>428</v>
      </c>
      <c r="E118" s="2" t="s">
        <v>33</v>
      </c>
      <c r="F118" s="3" t="s">
        <v>60</v>
      </c>
      <c r="G118" s="3" t="s">
        <v>54</v>
      </c>
      <c r="H118" s="3" t="s">
        <v>429</v>
      </c>
      <c r="I118" s="4">
        <f>(1386.00*4.5)+(0.00*9)</f>
      </c>
      <c r="J118" s="4">
        <f>0.00+0.00</f>
      </c>
      <c r="K118" s="4">
        <v>5400</v>
      </c>
      <c r="L118" s="4">
        <v>1110</v>
      </c>
      <c r="M118" s="4">
        <v>0</v>
      </c>
      <c r="N118" s="4">
        <v>0</v>
      </c>
      <c r="O118" s="4">
        <v>0</v>
      </c>
      <c r="P118" s="4">
        <v>100</v>
      </c>
      <c r="Q118" s="4">
        <v>0</v>
      </c>
      <c r="R118" s="5">
        <f>SUM(I118:Q118)</f>
      </c>
      <c r="S118" s="6">
        <v>0</v>
      </c>
      <c r="T118" s="7">
        <f>R118-S118</f>
      </c>
      <c r="U118" s="3" t="s">
        <v>37</v>
      </c>
      <c r="V118" s="3" t="s">
        <v>38</v>
      </c>
      <c r="W118" s="3" t="s">
        <v>430</v>
      </c>
      <c r="X118" s="3" t="s">
        <v>40</v>
      </c>
      <c r="Y118" s="3" t="s">
        <v>41</v>
      </c>
      <c r="Z118" s="3" t="s">
        <v>37</v>
      </c>
      <c r="AA118" s="3" t="s">
        <v>249</v>
      </c>
      <c r="AB118" s="3" t="s">
        <v>43</v>
      </c>
      <c r="AC118" s="4">
        <v>13324</v>
      </c>
      <c r="AD118" s="8">
        <f>AC118-R118</f>
      </c>
    </row>
    <row r="119" ht="20" customHeight="1" spans="1:30" x14ac:dyDescent="0.25">
      <c r="A119" s="2">
        <v>118</v>
      </c>
      <c r="B119" s="3" t="s">
        <v>30</v>
      </c>
      <c r="C119" s="3" t="s">
        <v>31</v>
      </c>
      <c r="D119" s="2" t="s">
        <v>431</v>
      </c>
      <c r="E119" s="2" t="s">
        <v>33</v>
      </c>
      <c r="F119" s="3" t="s">
        <v>432</v>
      </c>
      <c r="G119" s="3" t="s">
        <v>61</v>
      </c>
      <c r="H119" s="3" t="s">
        <v>433</v>
      </c>
      <c r="I119" s="4">
        <f>(60.00*4.5)+(0.00*9)</f>
      </c>
      <c r="J119" s="4">
        <f>0.00+0.00</f>
      </c>
      <c r="K119" s="4">
        <v>400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5">
        <f>SUM(I119:Q119)</f>
      </c>
      <c r="S119" s="6">
        <v>0</v>
      </c>
      <c r="T119" s="7">
        <f>R119-S119</f>
      </c>
      <c r="U119" s="3" t="s">
        <v>37</v>
      </c>
      <c r="V119" s="3" t="s">
        <v>38</v>
      </c>
      <c r="W119" s="3" t="s">
        <v>434</v>
      </c>
      <c r="X119" s="3" t="s">
        <v>40</v>
      </c>
      <c r="Y119" s="3" t="s">
        <v>41</v>
      </c>
      <c r="Z119" s="3" t="s">
        <v>37</v>
      </c>
      <c r="AA119" s="3" t="s">
        <v>96</v>
      </c>
      <c r="AB119" s="3" t="s">
        <v>43</v>
      </c>
      <c r="AC119" s="4">
        <v>670</v>
      </c>
      <c r="AD119" s="8">
        <f>AC119-R119</f>
      </c>
    </row>
    <row r="120" ht="20" customHeight="1" spans="1:30" x14ac:dyDescent="0.25">
      <c r="A120" s="2">
        <v>119</v>
      </c>
      <c r="B120" s="3" t="s">
        <v>30</v>
      </c>
      <c r="C120" s="3" t="s">
        <v>31</v>
      </c>
      <c r="D120" s="2" t="s">
        <v>435</v>
      </c>
      <c r="E120" s="2" t="s">
        <v>52</v>
      </c>
      <c r="F120" s="3" t="s">
        <v>53</v>
      </c>
      <c r="G120" s="3" t="s">
        <v>54</v>
      </c>
      <c r="H120" s="3" t="s">
        <v>436</v>
      </c>
      <c r="I120" s="4">
        <f>(970.00*4.5)+(0.00*9)</f>
      </c>
      <c r="J120" s="4">
        <f>800.00+0.00</f>
      </c>
      <c r="K120" s="4">
        <v>3400</v>
      </c>
      <c r="L120" s="4">
        <v>260</v>
      </c>
      <c r="M120" s="4">
        <v>240</v>
      </c>
      <c r="N120" s="4">
        <v>0</v>
      </c>
      <c r="O120" s="4">
        <v>0</v>
      </c>
      <c r="P120" s="4">
        <v>299</v>
      </c>
      <c r="Q120" s="4">
        <v>0</v>
      </c>
      <c r="R120" s="5">
        <f>SUM(I120:Q120)</f>
      </c>
      <c r="S120" s="6">
        <v>0</v>
      </c>
      <c r="T120" s="7">
        <f>R120-S120</f>
      </c>
      <c r="U120" s="3" t="s">
        <v>37</v>
      </c>
      <c r="V120" s="3" t="s">
        <v>38</v>
      </c>
      <c r="W120" s="3" t="s">
        <v>437</v>
      </c>
      <c r="X120" s="3" t="s">
        <v>40</v>
      </c>
      <c r="Y120" s="3" t="s">
        <v>41</v>
      </c>
      <c r="Z120" s="3" t="s">
        <v>37</v>
      </c>
      <c r="AA120" s="3" t="s">
        <v>133</v>
      </c>
      <c r="AB120" s="3" t="s">
        <v>43</v>
      </c>
      <c r="AC120" s="4">
        <v>10104</v>
      </c>
      <c r="AD120" s="8">
        <f>AC120-R120</f>
      </c>
    </row>
    <row r="121" ht="20" customHeight="1" spans="1:30" x14ac:dyDescent="0.25">
      <c r="A121" s="2">
        <v>120</v>
      </c>
      <c r="B121" s="3" t="s">
        <v>30</v>
      </c>
      <c r="C121" s="3" t="s">
        <v>31</v>
      </c>
      <c r="D121" s="2" t="s">
        <v>438</v>
      </c>
      <c r="E121" s="2" t="s">
        <v>59</v>
      </c>
      <c r="F121" s="3" t="s">
        <v>81</v>
      </c>
      <c r="G121" s="3" t="s">
        <v>35</v>
      </c>
      <c r="H121" s="3" t="s">
        <v>439</v>
      </c>
      <c r="I121" s="4">
        <f>(1746.00*4.5)+(0.00*9)</f>
      </c>
      <c r="J121" s="4">
        <f>0.00+0.00</f>
      </c>
      <c r="K121" s="4">
        <v>3000</v>
      </c>
      <c r="L121" s="4">
        <v>250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5">
        <f>SUM(I121:Q121)</f>
      </c>
      <c r="S121" s="6">
        <v>0</v>
      </c>
      <c r="T121" s="7">
        <f>R121-S121</f>
      </c>
      <c r="U121" s="3" t="s">
        <v>37</v>
      </c>
      <c r="V121" s="3" t="s">
        <v>38</v>
      </c>
      <c r="W121" s="3" t="s">
        <v>440</v>
      </c>
      <c r="X121" s="3" t="s">
        <v>40</v>
      </c>
      <c r="Y121" s="3" t="s">
        <v>41</v>
      </c>
      <c r="Z121" s="3" t="s">
        <v>37</v>
      </c>
      <c r="AA121" s="3" t="s">
        <v>128</v>
      </c>
      <c r="AB121" s="3" t="s">
        <v>43</v>
      </c>
      <c r="AC121" s="4">
        <v>11638</v>
      </c>
      <c r="AD121" s="8">
        <f>AC121-R121</f>
      </c>
    </row>
    <row r="122" ht="20" customHeight="1" spans="1:30" x14ac:dyDescent="0.25">
      <c r="A122" s="2">
        <v>121</v>
      </c>
      <c r="B122" s="3" t="s">
        <v>30</v>
      </c>
      <c r="C122" s="3" t="s">
        <v>31</v>
      </c>
      <c r="D122" s="2" t="s">
        <v>441</v>
      </c>
      <c r="E122" s="2" t="s">
        <v>33</v>
      </c>
      <c r="F122" s="3" t="s">
        <v>370</v>
      </c>
      <c r="G122" s="3" t="s">
        <v>54</v>
      </c>
      <c r="H122" s="3" t="s">
        <v>442</v>
      </c>
      <c r="I122" s="4">
        <f>(220.00*4.5)+(0.00*9)</f>
      </c>
      <c r="J122" s="4">
        <f>0.00+5900.00</f>
      </c>
      <c r="K122" s="4">
        <v>2400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5">
        <f>SUM(I122:Q122)</f>
      </c>
      <c r="S122" s="6">
        <v>0</v>
      </c>
      <c r="T122" s="7">
        <f>R122-S122</f>
      </c>
      <c r="U122" s="3" t="s">
        <v>37</v>
      </c>
      <c r="V122" s="3" t="s">
        <v>38</v>
      </c>
      <c r="W122" s="3" t="s">
        <v>443</v>
      </c>
      <c r="X122" s="3" t="s">
        <v>40</v>
      </c>
      <c r="Y122" s="3" t="s">
        <v>41</v>
      </c>
      <c r="Z122" s="3" t="s">
        <v>37</v>
      </c>
      <c r="AA122" s="3" t="s">
        <v>301</v>
      </c>
      <c r="AB122" s="3" t="s">
        <v>43</v>
      </c>
      <c r="AC122" s="4">
        <v>11790</v>
      </c>
      <c r="AD122" s="8">
        <f>AC122-R122</f>
      </c>
    </row>
    <row r="123" ht="20" customHeight="1" spans="1:30" x14ac:dyDescent="0.25">
      <c r="A123" s="2">
        <v>122</v>
      </c>
      <c r="B123" s="3" t="s">
        <v>30</v>
      </c>
      <c r="C123" s="3" t="s">
        <v>31</v>
      </c>
      <c r="D123" s="2" t="s">
        <v>444</v>
      </c>
      <c r="E123" s="2" t="s">
        <v>66</v>
      </c>
      <c r="F123" s="3" t="s">
        <v>102</v>
      </c>
      <c r="G123" s="3" t="s">
        <v>61</v>
      </c>
      <c r="H123" s="3" t="s">
        <v>91</v>
      </c>
      <c r="I123" s="4">
        <f>(664.00*4.5)+(0.00*9)</f>
      </c>
      <c r="J123" s="4">
        <f>100.00+1100.00</f>
      </c>
      <c r="K123" s="4">
        <v>2750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5">
        <f>SUM(I123:Q123)</f>
      </c>
      <c r="S123" s="6">
        <v>0</v>
      </c>
      <c r="T123" s="7">
        <f>R123-S123</f>
      </c>
      <c r="U123" s="3" t="s">
        <v>37</v>
      </c>
      <c r="V123" s="3" t="s">
        <v>38</v>
      </c>
      <c r="W123" s="3" t="s">
        <v>445</v>
      </c>
      <c r="X123" s="3" t="s">
        <v>40</v>
      </c>
      <c r="Y123" s="3" t="s">
        <v>41</v>
      </c>
      <c r="Z123" s="3" t="s">
        <v>37</v>
      </c>
      <c r="AA123" s="3" t="s">
        <v>96</v>
      </c>
      <c r="AB123" s="3" t="s">
        <v>43</v>
      </c>
      <c r="AC123" s="4">
        <v>6888</v>
      </c>
      <c r="AD123" s="8">
        <f>AC123-R123</f>
      </c>
    </row>
    <row r="124" ht="20" customHeight="1" spans="1:30" x14ac:dyDescent="0.25">
      <c r="A124" s="2">
        <v>123</v>
      </c>
      <c r="B124" s="3" t="s">
        <v>30</v>
      </c>
      <c r="C124" s="3" t="s">
        <v>31</v>
      </c>
      <c r="D124" s="2" t="s">
        <v>446</v>
      </c>
      <c r="E124" s="2" t="s">
        <v>52</v>
      </c>
      <c r="F124" s="3" t="s">
        <v>53</v>
      </c>
      <c r="G124" s="3" t="s">
        <v>54</v>
      </c>
      <c r="H124" s="3" t="s">
        <v>91</v>
      </c>
      <c r="I124" s="4">
        <f>(1682.00*4.5)+(0.00*9)</f>
      </c>
      <c r="J124" s="4">
        <f>0.00+500.00</f>
      </c>
      <c r="K124" s="4">
        <v>3950</v>
      </c>
      <c r="L124" s="4">
        <v>390</v>
      </c>
      <c r="M124" s="4">
        <v>490</v>
      </c>
      <c r="N124" s="4">
        <v>0</v>
      </c>
      <c r="O124" s="4">
        <v>50</v>
      </c>
      <c r="P124" s="4">
        <v>0</v>
      </c>
      <c r="Q124" s="4">
        <v>0</v>
      </c>
      <c r="R124" s="5">
        <f>SUM(I124:Q124)</f>
      </c>
      <c r="S124" s="6">
        <v>0</v>
      </c>
      <c r="T124" s="7">
        <f>R124-S124</f>
      </c>
      <c r="U124" s="3" t="s">
        <v>37</v>
      </c>
      <c r="V124" s="3" t="s">
        <v>38</v>
      </c>
      <c r="W124" s="3" t="s">
        <v>447</v>
      </c>
      <c r="X124" s="3" t="s">
        <v>40</v>
      </c>
      <c r="Y124" s="3" t="s">
        <v>41</v>
      </c>
      <c r="Z124" s="3" t="s">
        <v>37</v>
      </c>
      <c r="AA124" s="3" t="s">
        <v>133</v>
      </c>
      <c r="AB124" s="3" t="s">
        <v>43</v>
      </c>
      <c r="AC124" s="4">
        <v>13851</v>
      </c>
      <c r="AD124" s="8">
        <f>AC124-R124</f>
      </c>
    </row>
    <row r="125" ht="20" customHeight="1" spans="1:30" x14ac:dyDescent="0.25">
      <c r="A125" s="2">
        <v>124</v>
      </c>
      <c r="B125" s="3" t="s">
        <v>30</v>
      </c>
      <c r="C125" s="3" t="s">
        <v>31</v>
      </c>
      <c r="D125" s="2" t="s">
        <v>448</v>
      </c>
      <c r="E125" s="2" t="s">
        <v>33</v>
      </c>
      <c r="F125" s="3" t="s">
        <v>119</v>
      </c>
      <c r="G125" s="3" t="s">
        <v>47</v>
      </c>
      <c r="H125" s="3" t="s">
        <v>449</v>
      </c>
      <c r="I125" s="4">
        <f>(823.00*4.5)+(0.00*9)</f>
      </c>
      <c r="J125" s="4">
        <f>1450.00+0.00</f>
      </c>
      <c r="K125" s="4">
        <v>3000</v>
      </c>
      <c r="L125" s="4">
        <v>2970</v>
      </c>
      <c r="M125" s="4">
        <v>180</v>
      </c>
      <c r="N125" s="4">
        <v>0</v>
      </c>
      <c r="O125" s="4">
        <v>450</v>
      </c>
      <c r="P125" s="4">
        <v>0</v>
      </c>
      <c r="Q125" s="4">
        <v>0</v>
      </c>
      <c r="R125" s="5">
        <f>SUM(I125:Q125)</f>
      </c>
      <c r="S125" s="6">
        <v>0</v>
      </c>
      <c r="T125" s="7">
        <f>R125-S125</f>
      </c>
      <c r="U125" s="3" t="s">
        <v>37</v>
      </c>
      <c r="V125" s="3" t="s">
        <v>38</v>
      </c>
      <c r="W125" s="3" t="s">
        <v>450</v>
      </c>
      <c r="X125" s="3" t="s">
        <v>40</v>
      </c>
      <c r="Y125" s="3" t="s">
        <v>41</v>
      </c>
      <c r="Z125" s="3" t="s">
        <v>37</v>
      </c>
      <c r="AA125" s="3" t="s">
        <v>50</v>
      </c>
      <c r="AB125" s="3" t="s">
        <v>43</v>
      </c>
      <c r="AC125" s="4">
        <v>11903.5</v>
      </c>
      <c r="AD125" s="8">
        <f>AC125-R125</f>
      </c>
    </row>
    <row r="126" ht="20" customHeight="1" spans="1:30" x14ac:dyDescent="0.25">
      <c r="A126" s="2">
        <v>125</v>
      </c>
      <c r="B126" s="3" t="s">
        <v>30</v>
      </c>
      <c r="C126" s="3" t="s">
        <v>31</v>
      </c>
      <c r="D126" s="2" t="s">
        <v>451</v>
      </c>
      <c r="E126" s="2" t="s">
        <v>52</v>
      </c>
      <c r="F126" s="3" t="s">
        <v>119</v>
      </c>
      <c r="G126" s="3" t="s">
        <v>54</v>
      </c>
      <c r="H126" s="3" t="s">
        <v>452</v>
      </c>
      <c r="I126" s="4">
        <f>(0.00*4.5)+(0.00*9)</f>
      </c>
      <c r="J126" s="4">
        <f>0.00+300.00</f>
      </c>
      <c r="K126" s="4">
        <v>150</v>
      </c>
      <c r="L126" s="4">
        <v>610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5">
        <f>SUM(I126:Q126)</f>
      </c>
      <c r="S126" s="6">
        <v>0</v>
      </c>
      <c r="T126" s="7">
        <f>R126-S126</f>
      </c>
      <c r="U126" s="3" t="s">
        <v>37</v>
      </c>
      <c r="V126" s="3" t="s">
        <v>38</v>
      </c>
      <c r="W126" s="3" t="s">
        <v>134</v>
      </c>
      <c r="X126" s="3" t="s">
        <v>40</v>
      </c>
      <c r="Y126" s="3" t="s">
        <v>41</v>
      </c>
      <c r="Z126" s="3" t="s">
        <v>37</v>
      </c>
      <c r="AA126" s="3" t="s">
        <v>222</v>
      </c>
      <c r="AB126" s="3" t="s">
        <v>43</v>
      </c>
      <c r="AC126" s="4">
        <v>1120</v>
      </c>
      <c r="AD126" s="8">
        <f>AC126-R126</f>
      </c>
    </row>
    <row r="127" ht="20" customHeight="1" spans="1:30" x14ac:dyDescent="0.25">
      <c r="A127" s="2">
        <v>126</v>
      </c>
      <c r="B127" s="3" t="s">
        <v>30</v>
      </c>
      <c r="C127" s="3" t="s">
        <v>31</v>
      </c>
      <c r="D127" s="2" t="s">
        <v>453</v>
      </c>
      <c r="E127" s="2" t="s">
        <v>33</v>
      </c>
      <c r="F127" s="3" t="s">
        <v>119</v>
      </c>
      <c r="G127" s="3" t="s">
        <v>61</v>
      </c>
      <c r="H127" s="3" t="s">
        <v>454</v>
      </c>
      <c r="I127" s="4">
        <f>(24.00*4.5)+(0.00*9)</f>
      </c>
      <c r="J127" s="4">
        <f>230.00+800.00</f>
      </c>
      <c r="K127" s="4">
        <v>450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5">
        <f>SUM(I127:Q127)</f>
      </c>
      <c r="S127" s="6">
        <v>0</v>
      </c>
      <c r="T127" s="7">
        <f>R127-S127</f>
      </c>
      <c r="U127" s="3" t="s">
        <v>37</v>
      </c>
      <c r="V127" s="3" t="s">
        <v>38</v>
      </c>
      <c r="W127" s="3" t="s">
        <v>37</v>
      </c>
      <c r="X127" s="3" t="s">
        <v>40</v>
      </c>
      <c r="Y127" s="3" t="s">
        <v>41</v>
      </c>
      <c r="Z127" s="3" t="s">
        <v>37</v>
      </c>
      <c r="AA127" s="3" t="s">
        <v>91</v>
      </c>
      <c r="AB127" s="3" t="s">
        <v>43</v>
      </c>
      <c r="AC127" s="4">
        <v>1588</v>
      </c>
      <c r="AD127" s="8">
        <f>AC127-R127</f>
      </c>
    </row>
    <row r="128" ht="20" customHeight="1" spans="1:30" x14ac:dyDescent="0.25">
      <c r="A128" s="2">
        <v>127</v>
      </c>
      <c r="B128" s="3" t="s">
        <v>30</v>
      </c>
      <c r="C128" s="3" t="s">
        <v>31</v>
      </c>
      <c r="D128" s="2" t="s">
        <v>455</v>
      </c>
      <c r="E128" s="2" t="s">
        <v>52</v>
      </c>
      <c r="F128" s="3" t="s">
        <v>456</v>
      </c>
      <c r="G128" s="3" t="s">
        <v>47</v>
      </c>
      <c r="H128" s="3" t="s">
        <v>457</v>
      </c>
      <c r="I128" s="4">
        <f>(1950.00*4.5)+(0.00*9)</f>
      </c>
      <c r="J128" s="4">
        <f>100.00+2000.00</f>
      </c>
      <c r="K128" s="4">
        <v>2450</v>
      </c>
      <c r="L128" s="4">
        <v>1199</v>
      </c>
      <c r="M128" s="4">
        <v>250</v>
      </c>
      <c r="N128" s="4">
        <v>0</v>
      </c>
      <c r="O128" s="4">
        <v>0</v>
      </c>
      <c r="P128" s="4">
        <v>0</v>
      </c>
      <c r="Q128" s="4">
        <v>0</v>
      </c>
      <c r="R128" s="5">
        <f>SUM(I128:Q128)</f>
      </c>
      <c r="S128" s="6">
        <v>0</v>
      </c>
      <c r="T128" s="7">
        <f>R128-S128</f>
      </c>
      <c r="U128" s="3" t="s">
        <v>37</v>
      </c>
      <c r="V128" s="3" t="s">
        <v>38</v>
      </c>
      <c r="W128" s="3" t="s">
        <v>37</v>
      </c>
      <c r="X128" s="3" t="s">
        <v>40</v>
      </c>
      <c r="Y128" s="3" t="s">
        <v>41</v>
      </c>
      <c r="Z128" s="3" t="s">
        <v>37</v>
      </c>
      <c r="AA128" s="3" t="s">
        <v>165</v>
      </c>
      <c r="AB128" s="3" t="s">
        <v>43</v>
      </c>
      <c r="AC128" s="4">
        <v>14774</v>
      </c>
      <c r="AD128" s="8">
        <f>AC128-R128</f>
      </c>
    </row>
    <row r="129" ht="20" customHeight="1" spans="1:30" x14ac:dyDescent="0.25">
      <c r="A129" s="2">
        <v>128</v>
      </c>
      <c r="B129" s="3" t="s">
        <v>30</v>
      </c>
      <c r="C129" s="3" t="s">
        <v>31</v>
      </c>
      <c r="D129" s="2" t="s">
        <v>458</v>
      </c>
      <c r="E129" s="2" t="s">
        <v>66</v>
      </c>
      <c r="F129" s="3" t="s">
        <v>34</v>
      </c>
      <c r="G129" s="3" t="s">
        <v>54</v>
      </c>
      <c r="H129" s="3" t="s">
        <v>459</v>
      </c>
      <c r="I129" s="4">
        <f>(1274.00*4.5)+(0.00*9)</f>
      </c>
      <c r="J129" s="4">
        <f>590.00+1192.00</f>
      </c>
      <c r="K129" s="4">
        <v>6650</v>
      </c>
      <c r="L129" s="4">
        <v>355</v>
      </c>
      <c r="M129" s="4">
        <v>0</v>
      </c>
      <c r="N129" s="4">
        <v>6900</v>
      </c>
      <c r="O129" s="4">
        <v>0</v>
      </c>
      <c r="P129" s="4">
        <v>0</v>
      </c>
      <c r="Q129" s="4">
        <v>0</v>
      </c>
      <c r="R129" s="5">
        <f>SUM(I129:Q129)</f>
      </c>
      <c r="S129" s="6">
        <v>0</v>
      </c>
      <c r="T129" s="7">
        <f>R129-S129</f>
      </c>
      <c r="U129" s="3" t="s">
        <v>37</v>
      </c>
      <c r="V129" s="3" t="s">
        <v>38</v>
      </c>
      <c r="W129" s="3" t="s">
        <v>460</v>
      </c>
      <c r="X129" s="3" t="s">
        <v>40</v>
      </c>
      <c r="Y129" s="3" t="s">
        <v>41</v>
      </c>
      <c r="Z129" s="3" t="s">
        <v>37</v>
      </c>
      <c r="AA129" s="3" t="s">
        <v>74</v>
      </c>
      <c r="AB129" s="3" t="s">
        <v>43</v>
      </c>
      <c r="AC129" s="4">
        <v>22270</v>
      </c>
      <c r="AD129" s="8">
        <f>AC129-R129</f>
      </c>
    </row>
    <row r="130" ht="20" customHeight="1" spans="1:30" x14ac:dyDescent="0.25">
      <c r="A130" s="2">
        <v>129</v>
      </c>
      <c r="B130" s="3" t="s">
        <v>30</v>
      </c>
      <c r="C130" s="3" t="s">
        <v>31</v>
      </c>
      <c r="D130" s="2" t="s">
        <v>461</v>
      </c>
      <c r="E130" s="2" t="s">
        <v>33</v>
      </c>
      <c r="F130" s="3" t="s">
        <v>76</v>
      </c>
      <c r="G130" s="3" t="s">
        <v>61</v>
      </c>
      <c r="H130" s="3" t="s">
        <v>462</v>
      </c>
      <c r="I130" s="4">
        <f>(1018.00*4.5)+(0.00*9)</f>
      </c>
      <c r="J130" s="4">
        <f>0.00+0.00</f>
      </c>
      <c r="K130" s="4">
        <v>1400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5">
        <f>SUM(I130:Q130)</f>
      </c>
      <c r="S130" s="6">
        <v>0</v>
      </c>
      <c r="T130" s="7">
        <f>R130-S130</f>
      </c>
      <c r="U130" s="3" t="s">
        <v>37</v>
      </c>
      <c r="V130" s="3" t="s">
        <v>38</v>
      </c>
      <c r="W130" s="3" t="s">
        <v>463</v>
      </c>
      <c r="X130" s="3" t="s">
        <v>40</v>
      </c>
      <c r="Y130" s="3" t="s">
        <v>41</v>
      </c>
      <c r="Z130" s="3" t="s">
        <v>37</v>
      </c>
      <c r="AA130" s="3" t="s">
        <v>69</v>
      </c>
      <c r="AB130" s="3" t="s">
        <v>43</v>
      </c>
      <c r="AC130" s="4">
        <v>6579</v>
      </c>
      <c r="AD130" s="8">
        <f>AC130-R130</f>
      </c>
    </row>
    <row r="131" ht="20" customHeight="1" spans="1:30" x14ac:dyDescent="0.25">
      <c r="A131" s="2">
        <v>130</v>
      </c>
      <c r="B131" s="3" t="s">
        <v>30</v>
      </c>
      <c r="C131" s="3" t="s">
        <v>31</v>
      </c>
      <c r="D131" s="2" t="s">
        <v>464</v>
      </c>
      <c r="E131" s="2" t="s">
        <v>59</v>
      </c>
      <c r="F131" s="3" t="s">
        <v>465</v>
      </c>
      <c r="G131" s="3" t="s">
        <v>47</v>
      </c>
      <c r="H131" s="3" t="s">
        <v>466</v>
      </c>
      <c r="I131" s="4">
        <f>(1398.00*4.5)+(0.00*9)</f>
      </c>
      <c r="J131" s="4">
        <f>800.00+550.00</f>
      </c>
      <c r="K131" s="4">
        <v>5200</v>
      </c>
      <c r="L131" s="4">
        <v>0</v>
      </c>
      <c r="M131" s="4">
        <v>0</v>
      </c>
      <c r="N131" s="4">
        <v>1800</v>
      </c>
      <c r="O131" s="4">
        <v>0</v>
      </c>
      <c r="P131" s="4">
        <v>550</v>
      </c>
      <c r="Q131" s="4">
        <v>0</v>
      </c>
      <c r="R131" s="5">
        <f>SUM(I131:Q131)</f>
      </c>
      <c r="S131" s="6">
        <v>0</v>
      </c>
      <c r="T131" s="7">
        <f>R131-S131</f>
      </c>
      <c r="U131" s="3" t="s">
        <v>37</v>
      </c>
      <c r="V131" s="3" t="s">
        <v>38</v>
      </c>
      <c r="W131" s="3" t="s">
        <v>467</v>
      </c>
      <c r="X131" s="3" t="s">
        <v>40</v>
      </c>
      <c r="Y131" s="3" t="s">
        <v>41</v>
      </c>
      <c r="Z131" s="3" t="s">
        <v>37</v>
      </c>
      <c r="AA131" s="3" t="s">
        <v>50</v>
      </c>
      <c r="AB131" s="3" t="s">
        <v>43</v>
      </c>
      <c r="AC131" s="4">
        <v>15271</v>
      </c>
      <c r="AD131" s="8">
        <f>AC131-R131</f>
      </c>
    </row>
    <row r="132" ht="20" customHeight="1" spans="1:30" x14ac:dyDescent="0.25">
      <c r="A132" s="2">
        <v>131</v>
      </c>
      <c r="B132" s="3" t="s">
        <v>30</v>
      </c>
      <c r="C132" s="3" t="s">
        <v>31</v>
      </c>
      <c r="D132" s="2" t="s">
        <v>468</v>
      </c>
      <c r="E132" s="2" t="s">
        <v>33</v>
      </c>
      <c r="F132" s="3" t="s">
        <v>53</v>
      </c>
      <c r="G132" s="3" t="s">
        <v>47</v>
      </c>
      <c r="H132" s="3" t="s">
        <v>469</v>
      </c>
      <c r="I132" s="4">
        <f>(1235.00*4.5)+(0.00*9)</f>
      </c>
      <c r="J132" s="4">
        <f>300.00+950.00</f>
      </c>
      <c r="K132" s="4">
        <v>3000</v>
      </c>
      <c r="L132" s="4">
        <v>1180</v>
      </c>
      <c r="M132" s="4">
        <v>1100</v>
      </c>
      <c r="N132" s="4">
        <v>0</v>
      </c>
      <c r="O132" s="4">
        <v>60</v>
      </c>
      <c r="P132" s="4">
        <v>0</v>
      </c>
      <c r="Q132" s="4">
        <v>0</v>
      </c>
      <c r="R132" s="5">
        <f>SUM(I132:Q132)</f>
      </c>
      <c r="S132" s="6">
        <v>0</v>
      </c>
      <c r="T132" s="7">
        <f>R132-S132</f>
      </c>
      <c r="U132" s="3" t="s">
        <v>37</v>
      </c>
      <c r="V132" s="3" t="s">
        <v>38</v>
      </c>
      <c r="W132" s="3" t="s">
        <v>470</v>
      </c>
      <c r="X132" s="3" t="s">
        <v>40</v>
      </c>
      <c r="Y132" s="3" t="s">
        <v>41</v>
      </c>
      <c r="Z132" s="3" t="s">
        <v>37</v>
      </c>
      <c r="AA132" s="3" t="s">
        <v>165</v>
      </c>
      <c r="AB132" s="3" t="s">
        <v>43</v>
      </c>
      <c r="AC132" s="4">
        <v>13730</v>
      </c>
      <c r="AD132" s="8">
        <f>AC132-R132</f>
      </c>
    </row>
    <row r="133" ht="20" customHeight="1" spans="1:30" x14ac:dyDescent="0.25">
      <c r="A133" s="2">
        <v>132</v>
      </c>
      <c r="B133" s="3" t="s">
        <v>30</v>
      </c>
      <c r="C133" s="3" t="s">
        <v>31</v>
      </c>
      <c r="D133" s="2" t="s">
        <v>471</v>
      </c>
      <c r="E133" s="2" t="s">
        <v>52</v>
      </c>
      <c r="F133" s="3" t="s">
        <v>53</v>
      </c>
      <c r="G133" s="3" t="s">
        <v>35</v>
      </c>
      <c r="H133" s="3" t="s">
        <v>472</v>
      </c>
      <c r="I133" s="4">
        <f>(1461.00*4.5)+(0.00*9)</f>
      </c>
      <c r="J133" s="4">
        <f>0.00+0.00</f>
      </c>
      <c r="K133" s="4">
        <v>3000</v>
      </c>
      <c r="L133" s="4">
        <v>500</v>
      </c>
      <c r="M133" s="4">
        <v>70</v>
      </c>
      <c r="N133" s="4">
        <v>0</v>
      </c>
      <c r="O133" s="4">
        <v>0</v>
      </c>
      <c r="P133" s="4">
        <v>0</v>
      </c>
      <c r="Q133" s="4">
        <v>0</v>
      </c>
      <c r="R133" s="5">
        <f>SUM(I133:Q133)</f>
      </c>
      <c r="S133" s="6">
        <v>0</v>
      </c>
      <c r="T133" s="7">
        <f>R133-S133</f>
      </c>
      <c r="U133" s="3" t="s">
        <v>37</v>
      </c>
      <c r="V133" s="3" t="s">
        <v>38</v>
      </c>
      <c r="W133" s="3" t="s">
        <v>473</v>
      </c>
      <c r="X133" s="3" t="s">
        <v>40</v>
      </c>
      <c r="Y133" s="3" t="s">
        <v>41</v>
      </c>
      <c r="Z133" s="3" t="s">
        <v>37</v>
      </c>
      <c r="AA133" s="3" t="s">
        <v>401</v>
      </c>
      <c r="AB133" s="3" t="s">
        <v>43</v>
      </c>
      <c r="AC133" s="4">
        <v>10664</v>
      </c>
      <c r="AD133" s="8">
        <f>AC133-R133</f>
      </c>
    </row>
    <row r="134" ht="20" customHeight="1" spans="1:30" x14ac:dyDescent="0.25">
      <c r="A134" s="2">
        <v>133</v>
      </c>
      <c r="B134" s="3" t="s">
        <v>30</v>
      </c>
      <c r="C134" s="3" t="s">
        <v>31</v>
      </c>
      <c r="D134" s="2" t="s">
        <v>474</v>
      </c>
      <c r="E134" s="2" t="s">
        <v>33</v>
      </c>
      <c r="F134" s="3" t="s">
        <v>119</v>
      </c>
      <c r="G134" s="3" t="s">
        <v>35</v>
      </c>
      <c r="H134" s="3" t="s">
        <v>475</v>
      </c>
      <c r="I134" s="4">
        <f>(801.00*4.5)+(0.00*9)</f>
      </c>
      <c r="J134" s="4">
        <f>30.00+2128.00</f>
      </c>
      <c r="K134" s="4">
        <v>2550</v>
      </c>
      <c r="L134" s="4">
        <v>0</v>
      </c>
      <c r="M134" s="4">
        <v>0</v>
      </c>
      <c r="N134" s="4">
        <v>3000</v>
      </c>
      <c r="O134" s="4">
        <v>0</v>
      </c>
      <c r="P134" s="4">
        <v>0</v>
      </c>
      <c r="Q134" s="4">
        <v>0</v>
      </c>
      <c r="R134" s="5">
        <f>SUM(I134:Q134)</f>
      </c>
      <c r="S134" s="6">
        <v>0</v>
      </c>
      <c r="T134" s="7">
        <f>R134-S134</f>
      </c>
      <c r="U134" s="3" t="s">
        <v>37</v>
      </c>
      <c r="V134" s="3" t="s">
        <v>38</v>
      </c>
      <c r="W134" s="3" t="s">
        <v>476</v>
      </c>
      <c r="X134" s="3" t="s">
        <v>40</v>
      </c>
      <c r="Y134" s="3" t="s">
        <v>41</v>
      </c>
      <c r="Z134" s="3" t="s">
        <v>37</v>
      </c>
      <c r="AA134" s="3" t="s">
        <v>275</v>
      </c>
      <c r="AB134" s="3" t="s">
        <v>43</v>
      </c>
      <c r="AC134" s="4">
        <v>11840.5</v>
      </c>
      <c r="AD134" s="8">
        <f>AC134-R134</f>
      </c>
    </row>
    <row r="135" ht="20" customHeight="1" spans="1:30" x14ac:dyDescent="0.25">
      <c r="A135" s="2">
        <v>134</v>
      </c>
      <c r="B135" s="3" t="s">
        <v>30</v>
      </c>
      <c r="C135" s="3" t="s">
        <v>31</v>
      </c>
      <c r="D135" s="2" t="s">
        <v>477</v>
      </c>
      <c r="E135" s="2" t="s">
        <v>33</v>
      </c>
      <c r="F135" s="3" t="s">
        <v>119</v>
      </c>
      <c r="G135" s="3" t="s">
        <v>47</v>
      </c>
      <c r="H135" s="3" t="s">
        <v>478</v>
      </c>
      <c r="I135" s="4">
        <f>(2050.00*4.5)+(0.00*9)</f>
      </c>
      <c r="J135" s="4">
        <f>990.00+2120.00</f>
      </c>
      <c r="K135" s="4">
        <v>3750</v>
      </c>
      <c r="L135" s="4">
        <v>55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5">
        <f>SUM(I135:Q135)</f>
      </c>
      <c r="S135" s="6">
        <v>0</v>
      </c>
      <c r="T135" s="7">
        <f>R135-S135</f>
      </c>
      <c r="U135" s="3" t="s">
        <v>37</v>
      </c>
      <c r="V135" s="3" t="s">
        <v>38</v>
      </c>
      <c r="W135" s="3" t="s">
        <v>479</v>
      </c>
      <c r="X135" s="3" t="s">
        <v>40</v>
      </c>
      <c r="Y135" s="3" t="s">
        <v>41</v>
      </c>
      <c r="Z135" s="3" t="s">
        <v>37</v>
      </c>
      <c r="AA135" s="3" t="s">
        <v>48</v>
      </c>
      <c r="AB135" s="3" t="s">
        <v>43</v>
      </c>
      <c r="AC135" s="4">
        <v>16180</v>
      </c>
      <c r="AD135" s="8">
        <f>AC135-R135</f>
      </c>
    </row>
    <row r="136" ht="20" customHeight="1" spans="1:30" x14ac:dyDescent="0.25">
      <c r="A136" s="2">
        <v>135</v>
      </c>
      <c r="B136" s="3" t="s">
        <v>30</v>
      </c>
      <c r="C136" s="3" t="s">
        <v>31</v>
      </c>
      <c r="D136" s="2" t="s">
        <v>480</v>
      </c>
      <c r="E136" s="2" t="s">
        <v>59</v>
      </c>
      <c r="F136" s="3" t="s">
        <v>481</v>
      </c>
      <c r="G136" s="3" t="s">
        <v>61</v>
      </c>
      <c r="H136" s="3" t="s">
        <v>482</v>
      </c>
      <c r="I136" s="4">
        <f>(1338.00*4.5)+(0.00*9)</f>
      </c>
      <c r="J136" s="4">
        <f>510.00+2170.00</f>
      </c>
      <c r="K136" s="4">
        <v>4200</v>
      </c>
      <c r="L136" s="4">
        <v>1220</v>
      </c>
      <c r="M136" s="4">
        <v>0</v>
      </c>
      <c r="N136" s="4">
        <v>8190</v>
      </c>
      <c r="O136" s="4">
        <v>0</v>
      </c>
      <c r="P136" s="4">
        <v>0</v>
      </c>
      <c r="Q136" s="4">
        <v>0</v>
      </c>
      <c r="R136" s="5">
        <f>SUM(I136:Q136)</f>
      </c>
      <c r="S136" s="6">
        <v>0</v>
      </c>
      <c r="T136" s="7">
        <f>R136-S136</f>
      </c>
      <c r="U136" s="3" t="s">
        <v>37</v>
      </c>
      <c r="V136" s="3" t="s">
        <v>38</v>
      </c>
      <c r="W136" s="3" t="s">
        <v>483</v>
      </c>
      <c r="X136" s="3" t="s">
        <v>40</v>
      </c>
      <c r="Y136" s="3" t="s">
        <v>41</v>
      </c>
      <c r="Z136" s="3" t="s">
        <v>37</v>
      </c>
      <c r="AA136" s="3" t="s">
        <v>64</v>
      </c>
      <c r="AB136" s="3" t="s">
        <v>43</v>
      </c>
      <c r="AC136" s="4">
        <v>23311</v>
      </c>
      <c r="AD136" s="8">
        <f>AC136-R136</f>
      </c>
    </row>
    <row r="137" ht="20" customHeight="1" spans="1:30" x14ac:dyDescent="0.25">
      <c r="A137" s="2">
        <v>136</v>
      </c>
      <c r="B137" s="3" t="s">
        <v>30</v>
      </c>
      <c r="C137" s="3" t="s">
        <v>31</v>
      </c>
      <c r="D137" s="2" t="s">
        <v>484</v>
      </c>
      <c r="E137" s="2" t="s">
        <v>33</v>
      </c>
      <c r="F137" s="3" t="s">
        <v>53</v>
      </c>
      <c r="G137" s="3" t="s">
        <v>47</v>
      </c>
      <c r="H137" s="3" t="s">
        <v>485</v>
      </c>
      <c r="I137" s="4">
        <f>(1855.00*4.5)+(0.00*9)</f>
      </c>
      <c r="J137" s="4">
        <f>0.00+0.00</f>
      </c>
      <c r="K137" s="4">
        <v>2550</v>
      </c>
      <c r="L137" s="4">
        <v>1510</v>
      </c>
      <c r="M137" s="4">
        <v>150</v>
      </c>
      <c r="N137" s="4">
        <v>0</v>
      </c>
      <c r="O137" s="4">
        <v>0</v>
      </c>
      <c r="P137" s="4">
        <v>0</v>
      </c>
      <c r="Q137" s="4">
        <v>0</v>
      </c>
      <c r="R137" s="5">
        <f>SUM(I137:Q137)</f>
      </c>
      <c r="S137" s="6">
        <v>0</v>
      </c>
      <c r="T137" s="7">
        <f>R137-S137</f>
      </c>
      <c r="U137" s="3" t="s">
        <v>37</v>
      </c>
      <c r="V137" s="3" t="s">
        <v>38</v>
      </c>
      <c r="W137" s="3" t="s">
        <v>486</v>
      </c>
      <c r="X137" s="3" t="s">
        <v>40</v>
      </c>
      <c r="Y137" s="3" t="s">
        <v>41</v>
      </c>
      <c r="Z137" s="3" t="s">
        <v>37</v>
      </c>
      <c r="AA137" s="3" t="s">
        <v>165</v>
      </c>
      <c r="AB137" s="3" t="s">
        <v>43</v>
      </c>
      <c r="AC137" s="4">
        <v>12728.5</v>
      </c>
      <c r="AD137" s="8">
        <f>AC137-R137</f>
      </c>
    </row>
    <row r="138" ht="20" customHeight="1" spans="1:30" x14ac:dyDescent="0.25">
      <c r="A138" s="2">
        <v>137</v>
      </c>
      <c r="B138" s="3" t="s">
        <v>30</v>
      </c>
      <c r="C138" s="3" t="s">
        <v>31</v>
      </c>
      <c r="D138" s="2" t="s">
        <v>487</v>
      </c>
      <c r="E138" s="2" t="s">
        <v>33</v>
      </c>
      <c r="F138" s="3" t="s">
        <v>81</v>
      </c>
      <c r="G138" s="3" t="s">
        <v>54</v>
      </c>
      <c r="H138" s="3" t="s">
        <v>488</v>
      </c>
      <c r="I138" s="4">
        <f>(660.00*4.5)+(0.00*9)</f>
      </c>
      <c r="J138" s="4">
        <f>0.00+300.00</f>
      </c>
      <c r="K138" s="4">
        <v>1500</v>
      </c>
      <c r="L138" s="4">
        <v>0</v>
      </c>
      <c r="M138" s="4">
        <v>0</v>
      </c>
      <c r="N138" s="4">
        <v>2700</v>
      </c>
      <c r="O138" s="4">
        <v>0</v>
      </c>
      <c r="P138" s="4">
        <v>410</v>
      </c>
      <c r="Q138" s="4">
        <v>0</v>
      </c>
      <c r="R138" s="5">
        <f>SUM(I138:Q138)</f>
      </c>
      <c r="S138" s="6">
        <v>0</v>
      </c>
      <c r="T138" s="7">
        <f>R138-S138</f>
      </c>
      <c r="U138" s="3" t="s">
        <v>37</v>
      </c>
      <c r="V138" s="3" t="s">
        <v>38</v>
      </c>
      <c r="W138" s="3" t="s">
        <v>489</v>
      </c>
      <c r="X138" s="3" t="s">
        <v>40</v>
      </c>
      <c r="Y138" s="3" t="s">
        <v>41</v>
      </c>
      <c r="Z138" s="3" t="s">
        <v>37</v>
      </c>
      <c r="AA138" s="3" t="s">
        <v>265</v>
      </c>
      <c r="AB138" s="3" t="s">
        <v>43</v>
      </c>
      <c r="AC138" s="4">
        <v>8060</v>
      </c>
      <c r="AD138" s="8">
        <f>AC138-R138</f>
      </c>
    </row>
    <row r="139" ht="20" customHeight="1" spans="1:30" x14ac:dyDescent="0.25">
      <c r="A139" s="2">
        <v>138</v>
      </c>
      <c r="B139" s="3" t="s">
        <v>30</v>
      </c>
      <c r="C139" s="3" t="s">
        <v>31</v>
      </c>
      <c r="D139" s="2" t="s">
        <v>490</v>
      </c>
      <c r="E139" s="2" t="s">
        <v>66</v>
      </c>
      <c r="F139" s="3" t="s">
        <v>60</v>
      </c>
      <c r="G139" s="3" t="s">
        <v>54</v>
      </c>
      <c r="H139" s="3" t="s">
        <v>491</v>
      </c>
      <c r="I139" s="4">
        <f>(1910.00*4.5)+(0.00*9)</f>
      </c>
      <c r="J139" s="4">
        <f>1500.00+7245.00</f>
      </c>
      <c r="K139" s="4">
        <v>5400</v>
      </c>
      <c r="L139" s="4">
        <v>0</v>
      </c>
      <c r="M139" s="4">
        <v>0</v>
      </c>
      <c r="N139" s="4">
        <v>1900</v>
      </c>
      <c r="O139" s="4">
        <v>0</v>
      </c>
      <c r="P139" s="4">
        <v>0</v>
      </c>
      <c r="Q139" s="4">
        <v>0</v>
      </c>
      <c r="R139" s="5">
        <f>SUM(I139:Q139)</f>
      </c>
      <c r="S139" s="6">
        <v>0</v>
      </c>
      <c r="T139" s="7">
        <f>R139-S139</f>
      </c>
      <c r="U139" s="3" t="s">
        <v>37</v>
      </c>
      <c r="V139" s="3" t="s">
        <v>38</v>
      </c>
      <c r="W139" s="3" t="s">
        <v>37</v>
      </c>
      <c r="X139" s="3" t="s">
        <v>40</v>
      </c>
      <c r="Y139" s="3" t="s">
        <v>41</v>
      </c>
      <c r="Z139" s="3" t="s">
        <v>37</v>
      </c>
      <c r="AA139" s="3" t="s">
        <v>74</v>
      </c>
      <c r="AB139" s="3" t="s">
        <v>43</v>
      </c>
      <c r="AC139" s="4">
        <v>24640</v>
      </c>
      <c r="AD139" s="8">
        <f>AC139-R139</f>
      </c>
    </row>
    <row r="140" ht="20" customHeight="1" spans="1:30" x14ac:dyDescent="0.25">
      <c r="A140" s="2">
        <v>139</v>
      </c>
      <c r="B140" s="3" t="s">
        <v>30</v>
      </c>
      <c r="C140" s="3" t="s">
        <v>31</v>
      </c>
      <c r="D140" s="2" t="s">
        <v>492</v>
      </c>
      <c r="E140" s="2" t="s">
        <v>493</v>
      </c>
      <c r="F140" s="3" t="s">
        <v>386</v>
      </c>
      <c r="G140" s="3" t="s">
        <v>61</v>
      </c>
      <c r="H140" s="3" t="s">
        <v>96</v>
      </c>
      <c r="I140" s="4">
        <f>(24.00*4.5)+(1124.00*9)</f>
      </c>
      <c r="J140" s="4">
        <f>0.00+0.00</f>
      </c>
      <c r="K140" s="4">
        <v>1800</v>
      </c>
      <c r="L140" s="4">
        <v>0</v>
      </c>
      <c r="M140" s="4">
        <v>0</v>
      </c>
      <c r="N140" s="4">
        <v>0</v>
      </c>
      <c r="O140" s="4">
        <v>0</v>
      </c>
      <c r="P140" s="4">
        <v>799</v>
      </c>
      <c r="Q140" s="4">
        <v>0</v>
      </c>
      <c r="R140" s="5">
        <f>SUM(I140:Q140)</f>
      </c>
      <c r="S140" s="6">
        <v>0</v>
      </c>
      <c r="T140" s="7">
        <f>R140-S140</f>
      </c>
      <c r="U140" s="3" t="s">
        <v>37</v>
      </c>
      <c r="V140" s="3" t="s">
        <v>38</v>
      </c>
      <c r="W140" s="3" t="s">
        <v>37</v>
      </c>
      <c r="X140" s="3" t="s">
        <v>40</v>
      </c>
      <c r="Y140" s="3" t="s">
        <v>41</v>
      </c>
      <c r="Z140" s="3" t="s">
        <v>37</v>
      </c>
      <c r="AA140" s="3" t="s">
        <v>236</v>
      </c>
      <c r="AB140" s="3" t="s">
        <v>43</v>
      </c>
      <c r="AC140" s="4">
        <v>12823</v>
      </c>
      <c r="AD140" s="8">
        <f>AC140-R140</f>
      </c>
    </row>
    <row r="141" ht="20" customHeight="1" spans="1:30" x14ac:dyDescent="0.25">
      <c r="A141" s="2">
        <v>140</v>
      </c>
      <c r="B141" s="3" t="s">
        <v>30</v>
      </c>
      <c r="C141" s="3" t="s">
        <v>31</v>
      </c>
      <c r="D141" s="2" t="s">
        <v>494</v>
      </c>
      <c r="E141" s="2" t="s">
        <v>385</v>
      </c>
      <c r="F141" s="3" t="s">
        <v>386</v>
      </c>
      <c r="G141" s="3" t="s">
        <v>35</v>
      </c>
      <c r="H141" s="3" t="s">
        <v>42</v>
      </c>
      <c r="I141" s="4">
        <f>(297.00*4.5)+(1223.00*9)</f>
      </c>
      <c r="J141" s="4">
        <f>650.00+2250.00</f>
      </c>
      <c r="K141" s="4">
        <v>3000</v>
      </c>
      <c r="L141" s="4">
        <v>0</v>
      </c>
      <c r="M141" s="4">
        <v>0</v>
      </c>
      <c r="N141" s="4">
        <v>1499</v>
      </c>
      <c r="O141" s="4">
        <v>0</v>
      </c>
      <c r="P141" s="4">
        <v>0</v>
      </c>
      <c r="Q141" s="4">
        <v>0</v>
      </c>
      <c r="R141" s="5">
        <f>SUM(I141:Q141)</f>
      </c>
      <c r="S141" s="6">
        <v>0</v>
      </c>
      <c r="T141" s="7">
        <f>R141-S141</f>
      </c>
      <c r="U141" s="3" t="s">
        <v>37</v>
      </c>
      <c r="V141" s="3" t="s">
        <v>38</v>
      </c>
      <c r="W141" s="3" t="s">
        <v>495</v>
      </c>
      <c r="X141" s="3" t="s">
        <v>40</v>
      </c>
      <c r="Y141" s="3" t="s">
        <v>41</v>
      </c>
      <c r="Z141" s="3" t="s">
        <v>37</v>
      </c>
      <c r="AA141" s="3" t="s">
        <v>236</v>
      </c>
      <c r="AB141" s="3" t="s">
        <v>43</v>
      </c>
      <c r="AC141" s="4">
        <v>20142.5</v>
      </c>
      <c r="AD141" s="8">
        <f>AC141-R141</f>
      </c>
    </row>
    <row r="142" ht="20" customHeight="1" spans="1:30" x14ac:dyDescent="0.25">
      <c r="A142" s="2">
        <v>141</v>
      </c>
      <c r="B142" s="3" t="s">
        <v>30</v>
      </c>
      <c r="C142" s="3" t="s">
        <v>31</v>
      </c>
      <c r="D142" s="2" t="s">
        <v>496</v>
      </c>
      <c r="E142" s="2" t="s">
        <v>52</v>
      </c>
      <c r="F142" s="3" t="s">
        <v>53</v>
      </c>
      <c r="G142" s="3" t="s">
        <v>54</v>
      </c>
      <c r="H142" s="3" t="s">
        <v>497</v>
      </c>
      <c r="I142" s="4">
        <f>(276.00*4.5)+(0.00*9)</f>
      </c>
      <c r="J142" s="4">
        <f>120.00+100.00</f>
      </c>
      <c r="K142" s="4">
        <v>750</v>
      </c>
      <c r="L142" s="4">
        <v>75</v>
      </c>
      <c r="M142" s="4">
        <v>0</v>
      </c>
      <c r="N142" s="4">
        <v>0</v>
      </c>
      <c r="O142" s="4">
        <v>60</v>
      </c>
      <c r="P142" s="4">
        <v>0</v>
      </c>
      <c r="Q142" s="4">
        <v>0</v>
      </c>
      <c r="R142" s="5">
        <f>SUM(I142:Q142)</f>
      </c>
      <c r="S142" s="6">
        <v>0</v>
      </c>
      <c r="T142" s="7">
        <f>R142-S142</f>
      </c>
      <c r="U142" s="3" t="s">
        <v>37</v>
      </c>
      <c r="V142" s="3" t="s">
        <v>38</v>
      </c>
      <c r="W142" s="3" t="s">
        <v>498</v>
      </c>
      <c r="X142" s="3" t="s">
        <v>40</v>
      </c>
      <c r="Y142" s="3" t="s">
        <v>41</v>
      </c>
      <c r="Z142" s="3" t="s">
        <v>37</v>
      </c>
      <c r="AA142" s="3" t="s">
        <v>222</v>
      </c>
      <c r="AB142" s="3" t="s">
        <v>43</v>
      </c>
      <c r="AC142" s="4">
        <v>5272</v>
      </c>
      <c r="AD142" s="8">
        <f>AC142-R142</f>
      </c>
    </row>
    <row r="143" ht="20" customHeight="1" spans="1:30" x14ac:dyDescent="0.25">
      <c r="A143" s="2">
        <v>142</v>
      </c>
      <c r="B143" s="3" t="s">
        <v>30</v>
      </c>
      <c r="C143" s="3" t="s">
        <v>31</v>
      </c>
      <c r="D143" s="2" t="s">
        <v>499</v>
      </c>
      <c r="E143" s="2" t="s">
        <v>45</v>
      </c>
      <c r="F143" s="3" t="s">
        <v>71</v>
      </c>
      <c r="G143" s="3" t="s">
        <v>54</v>
      </c>
      <c r="H143" s="3" t="s">
        <v>500</v>
      </c>
      <c r="I143" s="4">
        <f>(0.00*4.5)+(0.00*9)</f>
      </c>
      <c r="J143" s="4">
        <f>120.00+0.00</f>
      </c>
      <c r="K143" s="4">
        <v>5400</v>
      </c>
      <c r="L143" s="4">
        <v>0</v>
      </c>
      <c r="M143" s="4">
        <v>0</v>
      </c>
      <c r="N143" s="4">
        <v>0</v>
      </c>
      <c r="O143" s="4">
        <v>0</v>
      </c>
      <c r="P143" s="4">
        <v>200</v>
      </c>
      <c r="Q143" s="4">
        <v>0</v>
      </c>
      <c r="R143" s="5">
        <f>SUM(I143:Q143)</f>
      </c>
      <c r="S143" s="6">
        <v>0</v>
      </c>
      <c r="T143" s="7">
        <f>R143-S143</f>
      </c>
      <c r="U143" s="3" t="s">
        <v>37</v>
      </c>
      <c r="V143" s="3" t="s">
        <v>38</v>
      </c>
      <c r="W143" s="3" t="s">
        <v>501</v>
      </c>
      <c r="X143" s="3" t="s">
        <v>40</v>
      </c>
      <c r="Y143" s="3" t="s">
        <v>41</v>
      </c>
      <c r="Z143" s="3" t="s">
        <v>37</v>
      </c>
      <c r="AA143" s="3" t="s">
        <v>37</v>
      </c>
      <c r="AB143" s="3" t="s">
        <v>43</v>
      </c>
      <c r="AC143" s="4">
        <v>5864</v>
      </c>
      <c r="AD143" s="8">
        <f>AC143-R143</f>
      </c>
    </row>
    <row r="144" ht="20" customHeight="1" spans="1:30" x14ac:dyDescent="0.25">
      <c r="A144" s="2">
        <v>143</v>
      </c>
      <c r="B144" s="3" t="s">
        <v>30</v>
      </c>
      <c r="C144" s="3" t="s">
        <v>31</v>
      </c>
      <c r="D144" s="2" t="s">
        <v>502</v>
      </c>
      <c r="E144" s="2" t="s">
        <v>45</v>
      </c>
      <c r="F144" s="3" t="s">
        <v>102</v>
      </c>
      <c r="G144" s="3" t="s">
        <v>54</v>
      </c>
      <c r="H144" s="3" t="s">
        <v>249</v>
      </c>
      <c r="I144" s="4">
        <f>(537.00*4.5)+(0.00*9)</f>
      </c>
      <c r="J144" s="4">
        <f>0.00+0.00</f>
      </c>
      <c r="K144" s="4">
        <v>4800</v>
      </c>
      <c r="L144" s="4">
        <v>260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5">
        <f>SUM(I144:Q144)</f>
      </c>
      <c r="S144" s="6">
        <v>0</v>
      </c>
      <c r="T144" s="7">
        <f>R144-S144</f>
      </c>
      <c r="U144" s="3" t="s">
        <v>37</v>
      </c>
      <c r="V144" s="3" t="s">
        <v>38</v>
      </c>
      <c r="W144" s="3" t="s">
        <v>503</v>
      </c>
      <c r="X144" s="3" t="s">
        <v>40</v>
      </c>
      <c r="Y144" s="3" t="s">
        <v>41</v>
      </c>
      <c r="Z144" s="3" t="s">
        <v>37</v>
      </c>
      <c r="AA144" s="3" t="s">
        <v>74</v>
      </c>
      <c r="AB144" s="3" t="s">
        <v>43</v>
      </c>
      <c r="AC144" s="4">
        <v>8300</v>
      </c>
      <c r="AD144" s="8">
        <f>AC144-R144</f>
      </c>
    </row>
    <row r="145" ht="20" customHeight="1" spans="1:30" x14ac:dyDescent="0.25">
      <c r="A145" s="2">
        <v>144</v>
      </c>
      <c r="B145" s="3" t="s">
        <v>30</v>
      </c>
      <c r="C145" s="3" t="s">
        <v>31</v>
      </c>
      <c r="D145" s="2" t="s">
        <v>504</v>
      </c>
      <c r="E145" s="2" t="s">
        <v>59</v>
      </c>
      <c r="F145" s="3" t="s">
        <v>465</v>
      </c>
      <c r="G145" s="3" t="s">
        <v>61</v>
      </c>
      <c r="H145" s="3" t="s">
        <v>64</v>
      </c>
      <c r="I145" s="4">
        <f>(953.00*4.5)+(0.00*9)</f>
      </c>
      <c r="J145" s="4">
        <f>640.00+1660.00</f>
      </c>
      <c r="K145" s="4">
        <v>2250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5">
        <f>SUM(I145:Q145)</f>
      </c>
      <c r="S145" s="6">
        <v>0</v>
      </c>
      <c r="T145" s="7">
        <f>R145-S145</f>
      </c>
      <c r="U145" s="3" t="s">
        <v>37</v>
      </c>
      <c r="V145" s="3" t="s">
        <v>38</v>
      </c>
      <c r="W145" s="3" t="s">
        <v>505</v>
      </c>
      <c r="X145" s="3" t="s">
        <v>40</v>
      </c>
      <c r="Y145" s="3" t="s">
        <v>41</v>
      </c>
      <c r="Z145" s="3" t="s">
        <v>37</v>
      </c>
      <c r="AA145" s="3" t="s">
        <v>96</v>
      </c>
      <c r="AB145" s="3" t="s">
        <v>43</v>
      </c>
      <c r="AC145" s="4">
        <v>12678.5</v>
      </c>
      <c r="AD145" s="8">
        <f>AC145-R145</f>
      </c>
    </row>
    <row r="146" ht="20" customHeight="1" spans="1:30" x14ac:dyDescent="0.25">
      <c r="A146" s="2">
        <v>145</v>
      </c>
      <c r="B146" s="3" t="s">
        <v>30</v>
      </c>
      <c r="C146" s="3" t="s">
        <v>31</v>
      </c>
      <c r="D146" s="2" t="s">
        <v>506</v>
      </c>
      <c r="E146" s="2" t="s">
        <v>45</v>
      </c>
      <c r="F146" s="3" t="s">
        <v>386</v>
      </c>
      <c r="G146" s="3" t="s">
        <v>47</v>
      </c>
      <c r="H146" s="3" t="s">
        <v>50</v>
      </c>
      <c r="I146" s="4">
        <f>(0.00*4.5)+(0.00*9)</f>
      </c>
      <c r="J146" s="4">
        <f>380.00+1585.00</f>
      </c>
      <c r="K146" s="4">
        <v>4700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5">
        <f>SUM(I146:Q146)</f>
      </c>
      <c r="S146" s="6">
        <v>0</v>
      </c>
      <c r="T146" s="7">
        <f>R146-S146</f>
      </c>
      <c r="U146" s="3" t="s">
        <v>37</v>
      </c>
      <c r="V146" s="3" t="s">
        <v>38</v>
      </c>
      <c r="W146" s="3" t="s">
        <v>507</v>
      </c>
      <c r="X146" s="3" t="s">
        <v>40</v>
      </c>
      <c r="Y146" s="3" t="s">
        <v>41</v>
      </c>
      <c r="Z146" s="3" t="s">
        <v>37</v>
      </c>
      <c r="AA146" s="3" t="s">
        <v>236</v>
      </c>
      <c r="AB146" s="3" t="s">
        <v>43</v>
      </c>
      <c r="AC146" s="4">
        <v>7025</v>
      </c>
      <c r="AD146" s="8">
        <f>AC146-R146</f>
      </c>
    </row>
    <row r="147" ht="20" customHeight="1" spans="1:30" x14ac:dyDescent="0.25">
      <c r="A147" s="2">
        <v>146</v>
      </c>
      <c r="B147" s="3" t="s">
        <v>30</v>
      </c>
      <c r="C147" s="3" t="s">
        <v>31</v>
      </c>
      <c r="D147" s="2" t="s">
        <v>508</v>
      </c>
      <c r="E147" s="2" t="s">
        <v>52</v>
      </c>
      <c r="F147" s="3" t="s">
        <v>53</v>
      </c>
      <c r="G147" s="3" t="s">
        <v>61</v>
      </c>
      <c r="H147" s="3" t="s">
        <v>509</v>
      </c>
      <c r="I147" s="4">
        <f>(2143.00*4.5)+(0.00*9)</f>
      </c>
      <c r="J147" s="4">
        <f>0.00+0.00</f>
      </c>
      <c r="K147" s="4">
        <v>3600</v>
      </c>
      <c r="L147" s="4">
        <v>1530</v>
      </c>
      <c r="M147" s="4">
        <v>0</v>
      </c>
      <c r="N147" s="4">
        <v>0</v>
      </c>
      <c r="O147" s="4">
        <v>0</v>
      </c>
      <c r="P147" s="4">
        <v>359</v>
      </c>
      <c r="Q147" s="4">
        <v>0</v>
      </c>
      <c r="R147" s="5">
        <f>SUM(I147:Q147)</f>
      </c>
      <c r="S147" s="6">
        <v>0</v>
      </c>
      <c r="T147" s="7">
        <f>R147-S147</f>
      </c>
      <c r="U147" s="3" t="s">
        <v>37</v>
      </c>
      <c r="V147" s="3" t="s">
        <v>38</v>
      </c>
      <c r="W147" s="3" t="s">
        <v>510</v>
      </c>
      <c r="X147" s="3" t="s">
        <v>40</v>
      </c>
      <c r="Y147" s="3" t="s">
        <v>41</v>
      </c>
      <c r="Z147" s="3" t="s">
        <v>37</v>
      </c>
      <c r="AA147" s="3" t="s">
        <v>84</v>
      </c>
      <c r="AB147" s="3" t="s">
        <v>43</v>
      </c>
      <c r="AC147" s="4">
        <v>15350</v>
      </c>
      <c r="AD147" s="8">
        <f>AC147-R147</f>
      </c>
    </row>
    <row r="148" ht="20" customHeight="1" spans="1:30" x14ac:dyDescent="0.25">
      <c r="A148" s="2">
        <v>147</v>
      </c>
      <c r="B148" s="3" t="s">
        <v>30</v>
      </c>
      <c r="C148" s="3" t="s">
        <v>31</v>
      </c>
      <c r="D148" s="2" t="s">
        <v>511</v>
      </c>
      <c r="E148" s="2" t="s">
        <v>45</v>
      </c>
      <c r="F148" s="3" t="s">
        <v>102</v>
      </c>
      <c r="G148" s="3" t="s">
        <v>61</v>
      </c>
      <c r="H148" s="3" t="s">
        <v>69</v>
      </c>
      <c r="I148" s="4">
        <f>(242.00*4.5)+(0.00*9)</f>
      </c>
      <c r="J148" s="4">
        <f>600.00+1392.00</f>
      </c>
      <c r="K148" s="4">
        <v>1400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5">
        <f>SUM(I148:Q148)</f>
      </c>
      <c r="S148" s="6">
        <v>0</v>
      </c>
      <c r="T148" s="7">
        <f>R148-S148</f>
      </c>
      <c r="U148" s="3" t="s">
        <v>37</v>
      </c>
      <c r="V148" s="3" t="s">
        <v>38</v>
      </c>
      <c r="W148" s="3" t="s">
        <v>512</v>
      </c>
      <c r="X148" s="3" t="s">
        <v>40</v>
      </c>
      <c r="Y148" s="3" t="s">
        <v>41</v>
      </c>
      <c r="Z148" s="3" t="s">
        <v>37</v>
      </c>
      <c r="AA148" s="3" t="s">
        <v>96</v>
      </c>
      <c r="AB148" s="3" t="s">
        <v>43</v>
      </c>
      <c r="AC148" s="4">
        <v>4481</v>
      </c>
      <c r="AD148" s="8">
        <f>AC148-R148</f>
      </c>
    </row>
    <row r="149" ht="20" customHeight="1" spans="1:30" x14ac:dyDescent="0.25">
      <c r="A149" s="2">
        <v>148</v>
      </c>
      <c r="B149" s="3" t="s">
        <v>30</v>
      </c>
      <c r="C149" s="3" t="s">
        <v>31</v>
      </c>
      <c r="D149" s="2" t="s">
        <v>513</v>
      </c>
      <c r="E149" s="2" t="s">
        <v>33</v>
      </c>
      <c r="F149" s="3" t="s">
        <v>119</v>
      </c>
      <c r="G149" s="3" t="s">
        <v>35</v>
      </c>
      <c r="H149" s="3" t="s">
        <v>514</v>
      </c>
      <c r="I149" s="4">
        <f>(1473.00*4.5)+(0.00*9)</f>
      </c>
      <c r="J149" s="4">
        <f>600.00+1650.00</f>
      </c>
      <c r="K149" s="4">
        <v>3450</v>
      </c>
      <c r="L149" s="4">
        <v>620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5">
        <f>SUM(I149:Q149)</f>
      </c>
      <c r="S149" s="6">
        <v>0</v>
      </c>
      <c r="T149" s="7">
        <f>R149-S149</f>
      </c>
      <c r="U149" s="3" t="s">
        <v>37</v>
      </c>
      <c r="V149" s="3" t="s">
        <v>38</v>
      </c>
      <c r="W149" s="3" t="s">
        <v>515</v>
      </c>
      <c r="X149" s="3" t="s">
        <v>40</v>
      </c>
      <c r="Y149" s="3" t="s">
        <v>41</v>
      </c>
      <c r="Z149" s="3" t="s">
        <v>37</v>
      </c>
      <c r="AA149" s="3" t="s">
        <v>230</v>
      </c>
      <c r="AB149" s="3" t="s">
        <v>43</v>
      </c>
      <c r="AC149" s="4">
        <v>13438.5</v>
      </c>
      <c r="AD149" s="8">
        <f>AC149-R149</f>
      </c>
    </row>
    <row r="150" ht="20" customHeight="1" spans="1:30" x14ac:dyDescent="0.25">
      <c r="A150" s="2">
        <v>149</v>
      </c>
      <c r="B150" s="3" t="s">
        <v>30</v>
      </c>
      <c r="C150" s="3" t="s">
        <v>31</v>
      </c>
      <c r="D150" s="2" t="s">
        <v>516</v>
      </c>
      <c r="E150" s="2" t="s">
        <v>33</v>
      </c>
      <c r="F150" s="3" t="s">
        <v>160</v>
      </c>
      <c r="G150" s="3" t="s">
        <v>35</v>
      </c>
      <c r="H150" s="3" t="s">
        <v>517</v>
      </c>
      <c r="I150" s="4">
        <f>(77.00*4.5)+(0.00*9)</f>
      </c>
      <c r="J150" s="4">
        <f>3450.00+7858.00</f>
      </c>
      <c r="K150" s="4">
        <v>8000</v>
      </c>
      <c r="L150" s="4">
        <v>0</v>
      </c>
      <c r="M150" s="4">
        <v>0</v>
      </c>
      <c r="N150" s="4">
        <v>13750</v>
      </c>
      <c r="O150" s="4">
        <v>0</v>
      </c>
      <c r="P150" s="4">
        <v>0</v>
      </c>
      <c r="Q150" s="4">
        <v>0</v>
      </c>
      <c r="R150" s="5">
        <f>SUM(I150:Q150)</f>
      </c>
      <c r="S150" s="6">
        <v>0</v>
      </c>
      <c r="T150" s="7">
        <f>R150-S150</f>
      </c>
      <c r="U150" s="3" t="s">
        <v>37</v>
      </c>
      <c r="V150" s="3" t="s">
        <v>38</v>
      </c>
      <c r="W150" s="3" t="s">
        <v>37</v>
      </c>
      <c r="X150" s="3" t="s">
        <v>40</v>
      </c>
      <c r="Y150" s="3" t="s">
        <v>41</v>
      </c>
      <c r="Z150" s="3" t="s">
        <v>37</v>
      </c>
      <c r="AA150" s="3" t="s">
        <v>156</v>
      </c>
      <c r="AB150" s="3" t="s">
        <v>43</v>
      </c>
      <c r="AC150" s="4">
        <v>33404.5</v>
      </c>
      <c r="AD150" s="8">
        <f>AC150-R150</f>
      </c>
    </row>
    <row r="151" ht="20" customHeight="1" spans="1:30" x14ac:dyDescent="0.25">
      <c r="A151" s="2">
        <v>150</v>
      </c>
      <c r="B151" s="3" t="s">
        <v>30</v>
      </c>
      <c r="C151" s="3" t="s">
        <v>31</v>
      </c>
      <c r="D151" s="2" t="s">
        <v>518</v>
      </c>
      <c r="E151" s="2" t="s">
        <v>33</v>
      </c>
      <c r="F151" s="3" t="s">
        <v>81</v>
      </c>
      <c r="G151" s="3" t="s">
        <v>47</v>
      </c>
      <c r="H151" s="3" t="s">
        <v>519</v>
      </c>
      <c r="I151" s="4">
        <f>(926.00*4.5)+(0.00*9)</f>
      </c>
      <c r="J151" s="4">
        <f>0.00+0.00</f>
      </c>
      <c r="K151" s="4">
        <v>900</v>
      </c>
      <c r="L151" s="4">
        <v>2560</v>
      </c>
      <c r="M151" s="4">
        <v>460</v>
      </c>
      <c r="N151" s="4">
        <v>0</v>
      </c>
      <c r="O151" s="4">
        <v>0</v>
      </c>
      <c r="P151" s="4">
        <v>0</v>
      </c>
      <c r="Q151" s="4">
        <v>0</v>
      </c>
      <c r="R151" s="5">
        <f>SUM(I151:Q151)</f>
      </c>
      <c r="S151" s="6">
        <v>0</v>
      </c>
      <c r="T151" s="7">
        <f>R151-S151</f>
      </c>
      <c r="U151" s="3" t="s">
        <v>37</v>
      </c>
      <c r="V151" s="3" t="s">
        <v>38</v>
      </c>
      <c r="W151" s="3" t="s">
        <v>520</v>
      </c>
      <c r="X151" s="3" t="s">
        <v>40</v>
      </c>
      <c r="Y151" s="3" t="s">
        <v>41</v>
      </c>
      <c r="Z151" s="3" t="s">
        <v>37</v>
      </c>
      <c r="AA151" s="3" t="s">
        <v>203</v>
      </c>
      <c r="AB151" s="3" t="s">
        <v>43</v>
      </c>
      <c r="AC151" s="4">
        <v>9587</v>
      </c>
      <c r="AD151" s="8">
        <f>AC151-R151</f>
      </c>
    </row>
    <row r="152" ht="20" customHeight="1" spans="1:30" x14ac:dyDescent="0.25">
      <c r="A152" s="2">
        <v>151</v>
      </c>
      <c r="B152" s="3" t="s">
        <v>30</v>
      </c>
      <c r="C152" s="3" t="s">
        <v>31</v>
      </c>
      <c r="D152" s="2" t="s">
        <v>521</v>
      </c>
      <c r="E152" s="2" t="s">
        <v>33</v>
      </c>
      <c r="F152" s="3" t="s">
        <v>136</v>
      </c>
      <c r="G152" s="3" t="s">
        <v>61</v>
      </c>
      <c r="H152" s="3" t="s">
        <v>522</v>
      </c>
      <c r="I152" s="4">
        <f>(672.00*4.5)+(0.00*9)</f>
      </c>
      <c r="J152" s="4">
        <f>0.00+0.00</f>
      </c>
      <c r="K152" s="4">
        <v>2600</v>
      </c>
      <c r="L152" s="4">
        <v>235</v>
      </c>
      <c r="M152" s="4">
        <v>0</v>
      </c>
      <c r="N152" s="4">
        <v>0</v>
      </c>
      <c r="O152" s="4">
        <v>0</v>
      </c>
      <c r="P152" s="4">
        <v>300</v>
      </c>
      <c r="Q152" s="4">
        <v>0</v>
      </c>
      <c r="R152" s="5">
        <f>SUM(I152:Q152)</f>
      </c>
      <c r="S152" s="6">
        <v>0</v>
      </c>
      <c r="T152" s="7">
        <f>R152-S152</f>
      </c>
      <c r="U152" s="3" t="s">
        <v>37</v>
      </c>
      <c r="V152" s="3" t="s">
        <v>38</v>
      </c>
      <c r="W152" s="3" t="s">
        <v>523</v>
      </c>
      <c r="X152" s="3" t="s">
        <v>40</v>
      </c>
      <c r="Y152" s="3" t="s">
        <v>41</v>
      </c>
      <c r="Z152" s="3" t="s">
        <v>37</v>
      </c>
      <c r="AA152" s="3" t="s">
        <v>91</v>
      </c>
      <c r="AB152" s="3" t="s">
        <v>43</v>
      </c>
      <c r="AC152" s="4">
        <v>7759</v>
      </c>
      <c r="AD152" s="8">
        <f>AC152-R152</f>
      </c>
    </row>
    <row r="153" ht="20" customHeight="1" spans="1:30" x14ac:dyDescent="0.25">
      <c r="A153" s="2">
        <v>152</v>
      </c>
      <c r="B153" s="3" t="s">
        <v>30</v>
      </c>
      <c r="C153" s="3" t="s">
        <v>31</v>
      </c>
      <c r="D153" s="2" t="s">
        <v>524</v>
      </c>
      <c r="E153" s="2" t="s">
        <v>52</v>
      </c>
      <c r="F153" s="3" t="s">
        <v>209</v>
      </c>
      <c r="G153" s="3" t="s">
        <v>61</v>
      </c>
      <c r="H153" s="3" t="s">
        <v>525</v>
      </c>
      <c r="I153" s="4">
        <f>(1260.00*4.5)+(0.00*9)</f>
      </c>
      <c r="J153" s="4">
        <f>370.00+1050.00</f>
      </c>
      <c r="K153" s="4">
        <v>2850</v>
      </c>
      <c r="L153" s="4">
        <v>0</v>
      </c>
      <c r="M153" s="4">
        <v>0</v>
      </c>
      <c r="N153" s="4">
        <v>3840</v>
      </c>
      <c r="O153" s="4">
        <v>0</v>
      </c>
      <c r="P153" s="4">
        <v>170</v>
      </c>
      <c r="Q153" s="4">
        <v>0</v>
      </c>
      <c r="R153" s="5">
        <f>SUM(I153:Q153)</f>
      </c>
      <c r="S153" s="6">
        <v>0</v>
      </c>
      <c r="T153" s="7">
        <f>R153-S153</f>
      </c>
      <c r="U153" s="3" t="s">
        <v>37</v>
      </c>
      <c r="V153" s="3" t="s">
        <v>38</v>
      </c>
      <c r="W153" s="3" t="s">
        <v>37</v>
      </c>
      <c r="X153" s="3" t="s">
        <v>40</v>
      </c>
      <c r="Y153" s="3" t="s">
        <v>41</v>
      </c>
      <c r="Z153" s="3" t="s">
        <v>37</v>
      </c>
      <c r="AA153" s="3" t="s">
        <v>69</v>
      </c>
      <c r="AB153" s="3" t="s">
        <v>43</v>
      </c>
      <c r="AC153" s="4">
        <v>13950</v>
      </c>
      <c r="AD153" s="8">
        <f>AC153-R153</f>
      </c>
    </row>
    <row r="154" ht="20" customHeight="1" spans="1:30" x14ac:dyDescent="0.25">
      <c r="A154" s="2">
        <v>153</v>
      </c>
      <c r="B154" s="3" t="s">
        <v>30</v>
      </c>
      <c r="C154" s="3" t="s">
        <v>31</v>
      </c>
      <c r="D154" s="2" t="s">
        <v>526</v>
      </c>
      <c r="E154" s="2" t="s">
        <v>59</v>
      </c>
      <c r="F154" s="3" t="s">
        <v>81</v>
      </c>
      <c r="G154" s="3" t="s">
        <v>47</v>
      </c>
      <c r="H154" s="3" t="s">
        <v>527</v>
      </c>
      <c r="I154" s="4">
        <f>(0.00*4.5)+(0.00*9)</f>
      </c>
      <c r="J154" s="4">
        <f>1975.00+857.00</f>
      </c>
      <c r="K154" s="4">
        <v>3950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5">
        <f>SUM(I154:Q154)</f>
      </c>
      <c r="S154" s="6">
        <v>0</v>
      </c>
      <c r="T154" s="7">
        <f>R154-S154</f>
      </c>
      <c r="U154" s="3" t="s">
        <v>37</v>
      </c>
      <c r="V154" s="3" t="s">
        <v>38</v>
      </c>
      <c r="W154" s="3" t="s">
        <v>528</v>
      </c>
      <c r="X154" s="3" t="s">
        <v>40</v>
      </c>
      <c r="Y154" s="3" t="s">
        <v>41</v>
      </c>
      <c r="Z154" s="3" t="s">
        <v>37</v>
      </c>
      <c r="AA154" s="3" t="s">
        <v>50</v>
      </c>
      <c r="AB154" s="3" t="s">
        <v>43</v>
      </c>
      <c r="AC154" s="4">
        <v>7772</v>
      </c>
      <c r="AD154" s="8">
        <f>AC154-R154</f>
      </c>
    </row>
    <row r="155" ht="20" customHeight="1" spans="1:30" x14ac:dyDescent="0.25">
      <c r="A155" s="2">
        <v>154</v>
      </c>
      <c r="B155" s="3" t="s">
        <v>30</v>
      </c>
      <c r="C155" s="3" t="s">
        <v>31</v>
      </c>
      <c r="D155" s="2" t="s">
        <v>529</v>
      </c>
      <c r="E155" s="2" t="s">
        <v>385</v>
      </c>
      <c r="F155" s="3" t="s">
        <v>530</v>
      </c>
      <c r="G155" s="3" t="s">
        <v>47</v>
      </c>
      <c r="H155" s="3" t="s">
        <v>165</v>
      </c>
      <c r="I155" s="4">
        <f>(1470.00*4.5)+(0.00*9)</f>
      </c>
      <c r="J155" s="4">
        <f>100.00+2300.00</f>
      </c>
      <c r="K155" s="4">
        <v>2000</v>
      </c>
      <c r="L155" s="4">
        <v>0</v>
      </c>
      <c r="M155" s="4">
        <v>0</v>
      </c>
      <c r="N155" s="4">
        <v>0</v>
      </c>
      <c r="O155" s="4">
        <v>0</v>
      </c>
      <c r="P155" s="4">
        <v>100</v>
      </c>
      <c r="Q155" s="4">
        <v>0</v>
      </c>
      <c r="R155" s="5">
        <f>SUM(I155:Q155)</f>
      </c>
      <c r="S155" s="6">
        <v>0</v>
      </c>
      <c r="T155" s="7">
        <f>R155-S155</f>
      </c>
      <c r="U155" s="3" t="s">
        <v>37</v>
      </c>
      <c r="V155" s="3" t="s">
        <v>38</v>
      </c>
      <c r="W155" s="3" t="s">
        <v>531</v>
      </c>
      <c r="X155" s="3" t="s">
        <v>40</v>
      </c>
      <c r="Y155" s="3" t="s">
        <v>41</v>
      </c>
      <c r="Z155" s="3" t="s">
        <v>37</v>
      </c>
      <c r="AA155" s="3" t="s">
        <v>50</v>
      </c>
      <c r="AB155" s="3" t="s">
        <v>43</v>
      </c>
      <c r="AC155" s="4">
        <v>13085</v>
      </c>
      <c r="AD155" s="8">
        <f>AC155-R155</f>
      </c>
    </row>
    <row r="156" ht="20" customHeight="1" spans="1:30" x14ac:dyDescent="0.25">
      <c r="A156" s="2">
        <v>155</v>
      </c>
      <c r="B156" s="3" t="s">
        <v>30</v>
      </c>
      <c r="C156" s="3" t="s">
        <v>31</v>
      </c>
      <c r="D156" s="2" t="s">
        <v>532</v>
      </c>
      <c r="E156" s="2" t="s">
        <v>52</v>
      </c>
      <c r="F156" s="3" t="s">
        <v>53</v>
      </c>
      <c r="G156" s="3" t="s">
        <v>35</v>
      </c>
      <c r="H156" s="3" t="s">
        <v>533</v>
      </c>
      <c r="I156" s="4">
        <f>(1854.00*4.5)+(0.00*9)</f>
      </c>
      <c r="J156" s="4">
        <f>450.00+2300.00</f>
      </c>
      <c r="K156" s="4">
        <v>3150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5">
        <f>SUM(I156:Q156)</f>
      </c>
      <c r="S156" s="6">
        <v>0</v>
      </c>
      <c r="T156" s="7">
        <f>R156-S156</f>
      </c>
      <c r="U156" s="3" t="s">
        <v>37</v>
      </c>
      <c r="V156" s="3" t="s">
        <v>38</v>
      </c>
      <c r="W156" s="3" t="s">
        <v>534</v>
      </c>
      <c r="X156" s="3" t="s">
        <v>40</v>
      </c>
      <c r="Y156" s="3" t="s">
        <v>41</v>
      </c>
      <c r="Z156" s="3" t="s">
        <v>37</v>
      </c>
      <c r="AA156" s="3" t="s">
        <v>128</v>
      </c>
      <c r="AB156" s="3" t="s">
        <v>43</v>
      </c>
      <c r="AC156" s="4">
        <v>14488</v>
      </c>
      <c r="AD156" s="8">
        <f>AC156-R156</f>
      </c>
    </row>
    <row r="157" ht="20" customHeight="1" spans="1:30" x14ac:dyDescent="0.25">
      <c r="A157" s="2">
        <v>156</v>
      </c>
      <c r="B157" s="3" t="s">
        <v>30</v>
      </c>
      <c r="C157" s="3" t="s">
        <v>31</v>
      </c>
      <c r="D157" s="2" t="s">
        <v>535</v>
      </c>
      <c r="E157" s="2" t="s">
        <v>45</v>
      </c>
      <c r="F157" s="3" t="s">
        <v>46</v>
      </c>
      <c r="G157" s="3" t="s">
        <v>54</v>
      </c>
      <c r="H157" s="3" t="s">
        <v>265</v>
      </c>
      <c r="I157" s="4">
        <f>(280.00*4.5)+(0.00*9)</f>
      </c>
      <c r="J157" s="4">
        <f>370.00+225.00</f>
      </c>
      <c r="K157" s="4">
        <v>2000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5">
        <f>SUM(I157:Q157)</f>
      </c>
      <c r="S157" s="6">
        <v>0</v>
      </c>
      <c r="T157" s="7">
        <f>R157-S157</f>
      </c>
      <c r="U157" s="3" t="s">
        <v>37</v>
      </c>
      <c r="V157" s="3" t="s">
        <v>38</v>
      </c>
      <c r="W157" s="3" t="s">
        <v>536</v>
      </c>
      <c r="X157" s="3" t="s">
        <v>40</v>
      </c>
      <c r="Y157" s="3" t="s">
        <v>41</v>
      </c>
      <c r="Z157" s="3" t="s">
        <v>37</v>
      </c>
      <c r="AA157" s="3" t="s">
        <v>74</v>
      </c>
      <c r="AB157" s="3" t="s">
        <v>43</v>
      </c>
      <c r="AC157" s="4">
        <v>5030</v>
      </c>
      <c r="AD157" s="8">
        <f>AC157-R157</f>
      </c>
    </row>
    <row r="158" ht="20" customHeight="1" spans="1:30" x14ac:dyDescent="0.25">
      <c r="A158" s="2">
        <v>157</v>
      </c>
      <c r="B158" s="3" t="s">
        <v>30</v>
      </c>
      <c r="C158" s="3" t="s">
        <v>31</v>
      </c>
      <c r="D158" s="2" t="s">
        <v>537</v>
      </c>
      <c r="E158" s="2" t="s">
        <v>59</v>
      </c>
      <c r="F158" s="3" t="s">
        <v>81</v>
      </c>
      <c r="G158" s="3" t="s">
        <v>61</v>
      </c>
      <c r="H158" s="3" t="s">
        <v>538</v>
      </c>
      <c r="I158" s="4">
        <f>(1028.00*4.5)+(0.00*9)</f>
      </c>
      <c r="J158" s="4">
        <f>870.00+3340.00</f>
      </c>
      <c r="K158" s="4">
        <v>3180</v>
      </c>
      <c r="L158" s="4">
        <v>0</v>
      </c>
      <c r="M158" s="4">
        <v>0</v>
      </c>
      <c r="N158" s="4">
        <v>1798</v>
      </c>
      <c r="O158" s="4">
        <v>0</v>
      </c>
      <c r="P158" s="4">
        <v>0</v>
      </c>
      <c r="Q158" s="4">
        <v>0</v>
      </c>
      <c r="R158" s="5">
        <f>SUM(I158:Q158)</f>
      </c>
      <c r="S158" s="6">
        <v>0</v>
      </c>
      <c r="T158" s="7">
        <f>R158-S158</f>
      </c>
      <c r="U158" s="3" t="s">
        <v>37</v>
      </c>
      <c r="V158" s="3" t="s">
        <v>38</v>
      </c>
      <c r="W158" s="3" t="s">
        <v>539</v>
      </c>
      <c r="X158" s="3" t="s">
        <v>40</v>
      </c>
      <c r="Y158" s="3" t="s">
        <v>41</v>
      </c>
      <c r="Z158" s="3" t="s">
        <v>37</v>
      </c>
      <c r="AA158" s="3" t="s">
        <v>96</v>
      </c>
      <c r="AB158" s="3" t="s">
        <v>43</v>
      </c>
      <c r="AC158" s="4">
        <v>13814</v>
      </c>
      <c r="AD158" s="8">
        <f>AC158-R158</f>
      </c>
    </row>
    <row r="159" ht="20" customHeight="1" spans="1:30" x14ac:dyDescent="0.25">
      <c r="A159" s="2">
        <v>158</v>
      </c>
      <c r="B159" s="3" t="s">
        <v>30</v>
      </c>
      <c r="C159" s="3" t="s">
        <v>31</v>
      </c>
      <c r="D159" s="2" t="s">
        <v>540</v>
      </c>
      <c r="E159" s="2" t="s">
        <v>45</v>
      </c>
      <c r="F159" s="3" t="s">
        <v>46</v>
      </c>
      <c r="G159" s="3" t="s">
        <v>324</v>
      </c>
      <c r="H159" s="3" t="s">
        <v>541</v>
      </c>
      <c r="I159" s="4">
        <f>(1472.00*4.5)+(0.00*9)</f>
      </c>
      <c r="J159" s="4">
        <f>0.00+0.00</f>
      </c>
      <c r="K159" s="4">
        <v>5300</v>
      </c>
      <c r="L159" s="4">
        <v>240</v>
      </c>
      <c r="M159" s="4">
        <v>430</v>
      </c>
      <c r="N159" s="4">
        <v>0</v>
      </c>
      <c r="O159" s="4">
        <v>0</v>
      </c>
      <c r="P159" s="4">
        <v>360</v>
      </c>
      <c r="Q159" s="4">
        <v>0</v>
      </c>
      <c r="R159" s="5">
        <f>SUM(I159:Q159)</f>
      </c>
      <c r="S159" s="6">
        <v>0</v>
      </c>
      <c r="T159" s="7">
        <f>R159-S159</f>
      </c>
      <c r="U159" s="3" t="s">
        <v>37</v>
      </c>
      <c r="V159" s="3" t="s">
        <v>38</v>
      </c>
      <c r="W159" s="3" t="s">
        <v>542</v>
      </c>
      <c r="X159" s="3" t="s">
        <v>40</v>
      </c>
      <c r="Y159" s="3" t="s">
        <v>41</v>
      </c>
      <c r="Z159" s="3" t="s">
        <v>37</v>
      </c>
      <c r="AA159" s="3" t="s">
        <v>236</v>
      </c>
      <c r="AB159" s="3" t="s">
        <v>43</v>
      </c>
      <c r="AC159" s="4">
        <v>12954</v>
      </c>
      <c r="AD159" s="8">
        <f>AC159-R159</f>
      </c>
    </row>
    <row r="160" ht="20" customHeight="1" spans="1:30" x14ac:dyDescent="0.25">
      <c r="A160" s="2">
        <v>159</v>
      </c>
      <c r="B160" s="3" t="s">
        <v>30</v>
      </c>
      <c r="C160" s="3" t="s">
        <v>31</v>
      </c>
      <c r="D160" s="2" t="s">
        <v>543</v>
      </c>
      <c r="E160" s="2" t="s">
        <v>59</v>
      </c>
      <c r="F160" s="3" t="s">
        <v>544</v>
      </c>
      <c r="G160" s="3" t="s">
        <v>545</v>
      </c>
      <c r="H160" s="3" t="s">
        <v>546</v>
      </c>
      <c r="I160" s="4">
        <f>(0.00*4.5)+(0.00*9)</f>
      </c>
      <c r="J160" s="4">
        <f>140.00+0.00</f>
      </c>
      <c r="K160" s="4">
        <v>2850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5">
        <f>SUM(I160:Q160)</f>
      </c>
      <c r="S160" s="6">
        <v>0</v>
      </c>
      <c r="T160" s="7">
        <f>R160-S160</f>
      </c>
      <c r="U160" s="3" t="s">
        <v>37</v>
      </c>
      <c r="V160" s="3" t="s">
        <v>38</v>
      </c>
      <c r="W160" s="3" t="s">
        <v>37</v>
      </c>
      <c r="X160" s="3" t="s">
        <v>40</v>
      </c>
      <c r="Y160" s="3" t="s">
        <v>41</v>
      </c>
      <c r="Z160" s="3" t="s">
        <v>37</v>
      </c>
      <c r="AA160" s="3" t="s">
        <v>286</v>
      </c>
      <c r="AB160" s="3" t="s">
        <v>43</v>
      </c>
      <c r="AC160" s="4">
        <v>2990</v>
      </c>
      <c r="AD160" s="8">
        <f>AC160-R160</f>
      </c>
    </row>
    <row r="161" ht="20" customHeight="1" spans="1:30" x14ac:dyDescent="0.25">
      <c r="A161" s="2">
        <v>160</v>
      </c>
      <c r="B161" s="3" t="s">
        <v>30</v>
      </c>
      <c r="C161" s="3" t="s">
        <v>31</v>
      </c>
      <c r="D161" s="2" t="s">
        <v>547</v>
      </c>
      <c r="E161" s="2" t="s">
        <v>45</v>
      </c>
      <c r="F161" s="3" t="s">
        <v>548</v>
      </c>
      <c r="G161" s="3" t="s">
        <v>54</v>
      </c>
      <c r="H161" s="3" t="s">
        <v>79</v>
      </c>
      <c r="I161" s="4">
        <f>(3045.00*4.5)+(0.00*9)</f>
      </c>
      <c r="J161" s="4">
        <f>650.00+560.00</f>
      </c>
      <c r="K161" s="4">
        <v>4250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5">
        <f>SUM(I161:Q161)</f>
      </c>
      <c r="S161" s="6">
        <v>0</v>
      </c>
      <c r="T161" s="7">
        <f>R161-S161</f>
      </c>
      <c r="U161" s="3" t="s">
        <v>37</v>
      </c>
      <c r="V161" s="3" t="s">
        <v>38</v>
      </c>
      <c r="W161" s="3" t="s">
        <v>549</v>
      </c>
      <c r="X161" s="3" t="s">
        <v>40</v>
      </c>
      <c r="Y161" s="3" t="s">
        <v>41</v>
      </c>
      <c r="Z161" s="3" t="s">
        <v>37</v>
      </c>
      <c r="AA161" s="3" t="s">
        <v>74</v>
      </c>
      <c r="AB161" s="3" t="s">
        <v>43</v>
      </c>
      <c r="AC161" s="4">
        <v>21172.5</v>
      </c>
      <c r="AD161" s="8">
        <f>AC161-R161</f>
      </c>
    </row>
    <row r="162" ht="20" customHeight="1" spans="1:30" x14ac:dyDescent="0.25">
      <c r="A162" s="2">
        <v>161</v>
      </c>
      <c r="B162" s="3" t="s">
        <v>30</v>
      </c>
      <c r="C162" s="3" t="s">
        <v>31</v>
      </c>
      <c r="D162" s="2" t="s">
        <v>550</v>
      </c>
      <c r="E162" s="2" t="s">
        <v>45</v>
      </c>
      <c r="F162" s="3" t="s">
        <v>46</v>
      </c>
      <c r="G162" s="3" t="s">
        <v>35</v>
      </c>
      <c r="H162" s="3" t="s">
        <v>275</v>
      </c>
      <c r="I162" s="4">
        <f>(1595.00*4.5)+(0.00*9)</f>
      </c>
      <c r="J162" s="4">
        <f>100.00+0.00</f>
      </c>
      <c r="K162" s="4">
        <v>3200</v>
      </c>
      <c r="L162" s="4">
        <v>200</v>
      </c>
      <c r="M162" s="4">
        <v>40</v>
      </c>
      <c r="N162" s="4">
        <v>0</v>
      </c>
      <c r="O162" s="4">
        <v>0</v>
      </c>
      <c r="P162" s="4">
        <v>0</v>
      </c>
      <c r="Q162" s="4">
        <v>0</v>
      </c>
      <c r="R162" s="5">
        <f>SUM(I162:Q162)</f>
      </c>
      <c r="S162" s="6">
        <v>0</v>
      </c>
      <c r="T162" s="7">
        <f>R162-S162</f>
      </c>
      <c r="U162" s="3" t="s">
        <v>37</v>
      </c>
      <c r="V162" s="3" t="s">
        <v>38</v>
      </c>
      <c r="W162" s="3" t="s">
        <v>551</v>
      </c>
      <c r="X162" s="3" t="s">
        <v>40</v>
      </c>
      <c r="Y162" s="3" t="s">
        <v>41</v>
      </c>
      <c r="Z162" s="3" t="s">
        <v>37</v>
      </c>
      <c r="AA162" s="3" t="s">
        <v>42</v>
      </c>
      <c r="AB162" s="3" t="s">
        <v>43</v>
      </c>
      <c r="AC162" s="4">
        <v>11371.5</v>
      </c>
      <c r="AD162" s="8">
        <f>AC162-R162</f>
      </c>
    </row>
    <row r="163" ht="20" customHeight="1" spans="1:30" x14ac:dyDescent="0.25">
      <c r="A163" s="2">
        <v>162</v>
      </c>
      <c r="B163" s="3" t="s">
        <v>30</v>
      </c>
      <c r="C163" s="3" t="s">
        <v>31</v>
      </c>
      <c r="D163" s="2" t="s">
        <v>552</v>
      </c>
      <c r="E163" s="2" t="s">
        <v>45</v>
      </c>
      <c r="F163" s="3" t="s">
        <v>46</v>
      </c>
      <c r="G163" s="3" t="s">
        <v>35</v>
      </c>
      <c r="H163" s="3" t="s">
        <v>230</v>
      </c>
      <c r="I163" s="4">
        <f>(694.00*4.5)+(0.00*9)</f>
      </c>
      <c r="J163" s="4">
        <f>250.00+0.00</f>
      </c>
      <c r="K163" s="4">
        <v>3000</v>
      </c>
      <c r="L163" s="4">
        <v>0</v>
      </c>
      <c r="M163" s="4">
        <v>250</v>
      </c>
      <c r="N163" s="4">
        <v>0</v>
      </c>
      <c r="O163" s="4">
        <v>0</v>
      </c>
      <c r="P163" s="4">
        <v>150</v>
      </c>
      <c r="Q163" s="4">
        <v>0</v>
      </c>
      <c r="R163" s="5">
        <f>SUM(I163:Q163)</f>
      </c>
      <c r="S163" s="6">
        <v>0</v>
      </c>
      <c r="T163" s="7">
        <f>R163-S163</f>
      </c>
      <c r="U163" s="3" t="s">
        <v>37</v>
      </c>
      <c r="V163" s="3" t="s">
        <v>38</v>
      </c>
      <c r="W163" s="3" t="s">
        <v>553</v>
      </c>
      <c r="X163" s="3" t="s">
        <v>40</v>
      </c>
      <c r="Y163" s="3" t="s">
        <v>41</v>
      </c>
      <c r="Z163" s="3" t="s">
        <v>37</v>
      </c>
      <c r="AA163" s="3" t="s">
        <v>42</v>
      </c>
      <c r="AB163" s="3" t="s">
        <v>43</v>
      </c>
      <c r="AC163" s="4">
        <v>6973</v>
      </c>
      <c r="AD163" s="8">
        <f>AC163-R163</f>
      </c>
    </row>
    <row r="164" ht="20" customHeight="1" spans="1:30" x14ac:dyDescent="0.25">
      <c r="A164" s="2">
        <v>163</v>
      </c>
      <c r="B164" s="3" t="s">
        <v>30</v>
      </c>
      <c r="C164" s="3" t="s">
        <v>31</v>
      </c>
      <c r="D164" s="2" t="s">
        <v>554</v>
      </c>
      <c r="E164" s="2" t="s">
        <v>33</v>
      </c>
      <c r="F164" s="3" t="s">
        <v>555</v>
      </c>
      <c r="G164" s="3" t="s">
        <v>54</v>
      </c>
      <c r="H164" s="3" t="s">
        <v>362</v>
      </c>
      <c r="I164" s="4">
        <f>(600.00*4.5)+(412.50*9)</f>
      </c>
      <c r="J164" s="4">
        <f>0.00+0.00</f>
      </c>
      <c r="K164" s="4">
        <v>1500</v>
      </c>
      <c r="L164" s="4">
        <v>0</v>
      </c>
      <c r="M164" s="4">
        <v>0</v>
      </c>
      <c r="N164" s="4">
        <v>3000</v>
      </c>
      <c r="O164" s="4">
        <v>0</v>
      </c>
      <c r="P164" s="4">
        <v>0</v>
      </c>
      <c r="Q164" s="4">
        <v>0</v>
      </c>
      <c r="R164" s="5">
        <f>SUM(I164:Q164)</f>
      </c>
      <c r="S164" s="6">
        <v>0</v>
      </c>
      <c r="T164" s="7">
        <f>R164-S164</f>
      </c>
      <c r="U164" s="3" t="s">
        <v>37</v>
      </c>
      <c r="V164" s="3" t="s">
        <v>38</v>
      </c>
      <c r="W164" s="3" t="s">
        <v>556</v>
      </c>
      <c r="X164" s="3" t="s">
        <v>40</v>
      </c>
      <c r="Y164" s="3" t="s">
        <v>41</v>
      </c>
      <c r="Z164" s="3" t="s">
        <v>37</v>
      </c>
      <c r="AA164" s="3" t="s">
        <v>236</v>
      </c>
      <c r="AB164" s="3" t="s">
        <v>43</v>
      </c>
      <c r="AC164" s="4">
        <v>10912.5</v>
      </c>
      <c r="AD164" s="8">
        <f>AC164-R164</f>
      </c>
    </row>
    <row r="165" ht="20" customHeight="1" spans="1:30" x14ac:dyDescent="0.25">
      <c r="A165" s="2">
        <v>164</v>
      </c>
      <c r="B165" s="3" t="s">
        <v>30</v>
      </c>
      <c r="C165" s="3" t="s">
        <v>31</v>
      </c>
      <c r="D165" s="2" t="s">
        <v>557</v>
      </c>
      <c r="E165" s="2" t="s">
        <v>33</v>
      </c>
      <c r="F165" s="3" t="s">
        <v>119</v>
      </c>
      <c r="G165" s="3" t="s">
        <v>35</v>
      </c>
      <c r="H165" s="3" t="s">
        <v>558</v>
      </c>
      <c r="I165" s="4">
        <f>(20.00*4.5)+(0.00*9)</f>
      </c>
      <c r="J165" s="4">
        <f>480.00+0.00</f>
      </c>
      <c r="K165" s="4">
        <v>450</v>
      </c>
      <c r="L165" s="4">
        <v>90</v>
      </c>
      <c r="M165" s="4">
        <v>0</v>
      </c>
      <c r="N165" s="4">
        <v>0</v>
      </c>
      <c r="O165" s="4">
        <v>0</v>
      </c>
      <c r="P165" s="4">
        <v>120</v>
      </c>
      <c r="Q165" s="4">
        <v>0</v>
      </c>
      <c r="R165" s="5">
        <f>SUM(I165:Q165)</f>
      </c>
      <c r="S165" s="6">
        <v>0</v>
      </c>
      <c r="T165" s="7">
        <f>R165-S165</f>
      </c>
      <c r="U165" s="3" t="s">
        <v>37</v>
      </c>
      <c r="V165" s="3" t="s">
        <v>38</v>
      </c>
      <c r="W165" s="3" t="s">
        <v>37</v>
      </c>
      <c r="X165" s="3" t="s">
        <v>40</v>
      </c>
      <c r="Y165" s="3" t="s">
        <v>41</v>
      </c>
      <c r="Z165" s="3" t="s">
        <v>37</v>
      </c>
      <c r="AA165" s="3" t="s">
        <v>230</v>
      </c>
      <c r="AB165" s="3" t="s">
        <v>43</v>
      </c>
      <c r="AC165" s="4">
        <v>1230</v>
      </c>
      <c r="AD165" s="8">
        <f>AC165-R165</f>
      </c>
    </row>
    <row r="166" ht="20" customHeight="1" spans="1:30" x14ac:dyDescent="0.25">
      <c r="A166" s="2">
        <v>165</v>
      </c>
      <c r="B166" s="3" t="s">
        <v>30</v>
      </c>
      <c r="C166" s="3" t="s">
        <v>31</v>
      </c>
      <c r="D166" s="2" t="s">
        <v>559</v>
      </c>
      <c r="E166" s="2" t="s">
        <v>52</v>
      </c>
      <c r="F166" s="3" t="s">
        <v>53</v>
      </c>
      <c r="G166" s="3" t="s">
        <v>54</v>
      </c>
      <c r="H166" s="3" t="s">
        <v>560</v>
      </c>
      <c r="I166" s="4">
        <f>(775.00*4.5)+(0.00*9)</f>
      </c>
      <c r="J166" s="4">
        <f>160.00+0.00</f>
      </c>
      <c r="K166" s="4">
        <v>1500</v>
      </c>
      <c r="L166" s="4">
        <v>255</v>
      </c>
      <c r="M166" s="4">
        <v>50</v>
      </c>
      <c r="N166" s="4">
        <v>0</v>
      </c>
      <c r="O166" s="4">
        <v>0</v>
      </c>
      <c r="P166" s="4">
        <v>0</v>
      </c>
      <c r="Q166" s="4">
        <v>0</v>
      </c>
      <c r="R166" s="5">
        <f>SUM(I166:Q166)</f>
      </c>
      <c r="S166" s="6">
        <v>0</v>
      </c>
      <c r="T166" s="7">
        <f>R166-S166</f>
      </c>
      <c r="U166" s="3" t="s">
        <v>37</v>
      </c>
      <c r="V166" s="3" t="s">
        <v>38</v>
      </c>
      <c r="W166" s="3" t="s">
        <v>561</v>
      </c>
      <c r="X166" s="3" t="s">
        <v>40</v>
      </c>
      <c r="Y166" s="3" t="s">
        <v>41</v>
      </c>
      <c r="Z166" s="3" t="s">
        <v>37</v>
      </c>
      <c r="AA166" s="3" t="s">
        <v>222</v>
      </c>
      <c r="AB166" s="3" t="s">
        <v>43</v>
      </c>
      <c r="AC166" s="4">
        <v>8745</v>
      </c>
      <c r="AD166" s="8">
        <f>AC166-R166</f>
      </c>
    </row>
    <row r="167" ht="20" customHeight="1" spans="1:30" x14ac:dyDescent="0.25">
      <c r="A167" s="2">
        <v>166</v>
      </c>
      <c r="B167" s="3" t="s">
        <v>30</v>
      </c>
      <c r="C167" s="3" t="s">
        <v>31</v>
      </c>
      <c r="D167" s="2" t="s">
        <v>562</v>
      </c>
      <c r="E167" s="2" t="s">
        <v>33</v>
      </c>
      <c r="F167" s="3" t="s">
        <v>93</v>
      </c>
      <c r="G167" s="3" t="s">
        <v>35</v>
      </c>
      <c r="H167" s="3" t="s">
        <v>563</v>
      </c>
      <c r="I167" s="4">
        <f>(1060.00*4.5)+(0.00*9)</f>
      </c>
      <c r="J167" s="4">
        <f>1350.00+3600.00</f>
      </c>
      <c r="K167" s="4">
        <v>3850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5">
        <f>SUM(I167:Q167)</f>
      </c>
      <c r="S167" s="6">
        <v>0</v>
      </c>
      <c r="T167" s="7">
        <f>R167-S167</f>
      </c>
      <c r="U167" s="3" t="s">
        <v>37</v>
      </c>
      <c r="V167" s="3" t="s">
        <v>38</v>
      </c>
      <c r="W167" s="3" t="s">
        <v>564</v>
      </c>
      <c r="X167" s="3" t="s">
        <v>40</v>
      </c>
      <c r="Y167" s="3" t="s">
        <v>41</v>
      </c>
      <c r="Z167" s="3" t="s">
        <v>37</v>
      </c>
      <c r="AA167" s="3" t="s">
        <v>42</v>
      </c>
      <c r="AB167" s="3" t="s">
        <v>43</v>
      </c>
      <c r="AC167" s="4">
        <v>14397.5</v>
      </c>
      <c r="AD167" s="8">
        <f>AC167-R167</f>
      </c>
    </row>
    <row r="168" ht="20" customHeight="1" spans="1:30" x14ac:dyDescent="0.25">
      <c r="A168" s="2">
        <v>167</v>
      </c>
      <c r="B168" s="3" t="s">
        <v>30</v>
      </c>
      <c r="C168" s="3" t="s">
        <v>31</v>
      </c>
      <c r="D168" s="2" t="s">
        <v>565</v>
      </c>
      <c r="E168" s="2" t="s">
        <v>45</v>
      </c>
      <c r="F168" s="3" t="s">
        <v>46</v>
      </c>
      <c r="G168" s="3" t="s">
        <v>54</v>
      </c>
      <c r="H168" s="3" t="s">
        <v>57</v>
      </c>
      <c r="I168" s="4">
        <f>(2429.00*4.5)+(0.00*9)</f>
      </c>
      <c r="J168" s="4">
        <f>120.00+0.00</f>
      </c>
      <c r="K168" s="4">
        <v>4000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5">
        <f>SUM(I168:Q168)</f>
      </c>
      <c r="S168" s="6">
        <v>0</v>
      </c>
      <c r="T168" s="7">
        <f>R168-S168</f>
      </c>
      <c r="U168" s="3" t="s">
        <v>37</v>
      </c>
      <c r="V168" s="3" t="s">
        <v>38</v>
      </c>
      <c r="W168" s="3" t="s">
        <v>566</v>
      </c>
      <c r="X168" s="3" t="s">
        <v>40</v>
      </c>
      <c r="Y168" s="3" t="s">
        <v>41</v>
      </c>
      <c r="Z168" s="3" t="s">
        <v>37</v>
      </c>
      <c r="AA168" s="3" t="s">
        <v>74</v>
      </c>
      <c r="AB168" s="3" t="s">
        <v>43</v>
      </c>
      <c r="AC168" s="4">
        <v>15765.5</v>
      </c>
      <c r="AD168" s="8">
        <f>AC168-R168</f>
      </c>
    </row>
    <row r="169" ht="20" customHeight="1" spans="1:30" x14ac:dyDescent="0.25">
      <c r="A169" s="2">
        <v>168</v>
      </c>
      <c r="B169" s="3" t="s">
        <v>30</v>
      </c>
      <c r="C169" s="3" t="s">
        <v>31</v>
      </c>
      <c r="D169" s="2" t="s">
        <v>567</v>
      </c>
      <c r="E169" s="2" t="s">
        <v>33</v>
      </c>
      <c r="F169" s="3" t="s">
        <v>160</v>
      </c>
      <c r="G169" s="3" t="s">
        <v>61</v>
      </c>
      <c r="H169" s="3" t="s">
        <v>568</v>
      </c>
      <c r="I169" s="4">
        <f>(160.00*4.5)+(0.00*9)</f>
      </c>
      <c r="J169" s="4">
        <f>1732.00+4940.00</f>
      </c>
      <c r="K169" s="4">
        <v>8070</v>
      </c>
      <c r="L169" s="4">
        <v>0</v>
      </c>
      <c r="M169" s="4">
        <v>0</v>
      </c>
      <c r="N169" s="4">
        <v>10100</v>
      </c>
      <c r="O169" s="4">
        <v>0</v>
      </c>
      <c r="P169" s="4">
        <v>0</v>
      </c>
      <c r="Q169" s="4">
        <v>0</v>
      </c>
      <c r="R169" s="5">
        <f>SUM(I169:Q169)</f>
      </c>
      <c r="S169" s="6">
        <v>0</v>
      </c>
      <c r="T169" s="7">
        <f>R169-S169</f>
      </c>
      <c r="U169" s="3" t="s">
        <v>37</v>
      </c>
      <c r="V169" s="3" t="s">
        <v>38</v>
      </c>
      <c r="W169" s="3" t="s">
        <v>569</v>
      </c>
      <c r="X169" s="3" t="s">
        <v>40</v>
      </c>
      <c r="Y169" s="3" t="s">
        <v>41</v>
      </c>
      <c r="Z169" s="3" t="s">
        <v>37</v>
      </c>
      <c r="AA169" s="3" t="s">
        <v>156</v>
      </c>
      <c r="AB169" s="3" t="s">
        <v>43</v>
      </c>
      <c r="AC169" s="4">
        <v>25682</v>
      </c>
      <c r="AD169" s="8">
        <f>AC169-R169</f>
      </c>
    </row>
    <row r="170" ht="20" customHeight="1" spans="1:30" x14ac:dyDescent="0.25">
      <c r="A170" s="2">
        <v>169</v>
      </c>
      <c r="B170" s="3" t="s">
        <v>30</v>
      </c>
      <c r="C170" s="3" t="s">
        <v>31</v>
      </c>
      <c r="D170" s="2" t="s">
        <v>570</v>
      </c>
      <c r="E170" s="2" t="s">
        <v>33</v>
      </c>
      <c r="F170" s="3" t="s">
        <v>119</v>
      </c>
      <c r="G170" s="3" t="s">
        <v>47</v>
      </c>
      <c r="H170" s="3" t="s">
        <v>571</v>
      </c>
      <c r="I170" s="4">
        <f>(1807.00*4.5)+(0.00*9)</f>
      </c>
      <c r="J170" s="4">
        <f>0.00+0.00</f>
      </c>
      <c r="K170" s="4">
        <v>3750</v>
      </c>
      <c r="L170" s="4">
        <v>560</v>
      </c>
      <c r="M170" s="4">
        <v>320</v>
      </c>
      <c r="N170" s="4">
        <v>0</v>
      </c>
      <c r="O170" s="4">
        <v>0</v>
      </c>
      <c r="P170" s="4">
        <v>0</v>
      </c>
      <c r="Q170" s="4">
        <v>0</v>
      </c>
      <c r="R170" s="5">
        <f>SUM(I170:Q170)</f>
      </c>
      <c r="S170" s="6">
        <v>0</v>
      </c>
      <c r="T170" s="7">
        <f>R170-S170</f>
      </c>
      <c r="U170" s="3" t="s">
        <v>37</v>
      </c>
      <c r="V170" s="3" t="s">
        <v>38</v>
      </c>
      <c r="W170" s="3" t="s">
        <v>572</v>
      </c>
      <c r="X170" s="3" t="s">
        <v>40</v>
      </c>
      <c r="Y170" s="3" t="s">
        <v>41</v>
      </c>
      <c r="Z170" s="3" t="s">
        <v>37</v>
      </c>
      <c r="AA170" s="3" t="s">
        <v>203</v>
      </c>
      <c r="AB170" s="3" t="s">
        <v>43</v>
      </c>
      <c r="AC170" s="4">
        <v>12956.5</v>
      </c>
      <c r="AD170" s="8">
        <f>AC170-R170</f>
      </c>
    </row>
    <row r="171" ht="20" customHeight="1" spans="1:30" x14ac:dyDescent="0.25">
      <c r="A171" s="2">
        <v>170</v>
      </c>
      <c r="B171" s="3" t="s">
        <v>30</v>
      </c>
      <c r="C171" s="3" t="s">
        <v>31</v>
      </c>
      <c r="D171" s="2" t="s">
        <v>573</v>
      </c>
      <c r="E171" s="2" t="s">
        <v>59</v>
      </c>
      <c r="F171" s="3" t="s">
        <v>81</v>
      </c>
      <c r="G171" s="3" t="s">
        <v>54</v>
      </c>
      <c r="H171" s="3" t="s">
        <v>574</v>
      </c>
      <c r="I171" s="4">
        <f>(505.00*4.5)+(0.00*9)</f>
      </c>
      <c r="J171" s="4">
        <f>0.00+0.00</f>
      </c>
      <c r="K171" s="4">
        <v>600</v>
      </c>
      <c r="L171" s="4">
        <v>1030</v>
      </c>
      <c r="M171" s="4">
        <v>0</v>
      </c>
      <c r="N171" s="4">
        <v>0</v>
      </c>
      <c r="O171" s="4">
        <v>0</v>
      </c>
      <c r="P171" s="4">
        <v>469</v>
      </c>
      <c r="Q171" s="4">
        <v>0</v>
      </c>
      <c r="R171" s="5">
        <f>SUM(I171:Q171)</f>
      </c>
      <c r="S171" s="6">
        <v>0</v>
      </c>
      <c r="T171" s="7">
        <f>R171-S171</f>
      </c>
      <c r="U171" s="3" t="s">
        <v>37</v>
      </c>
      <c r="V171" s="3" t="s">
        <v>38</v>
      </c>
      <c r="W171" s="3" t="s">
        <v>575</v>
      </c>
      <c r="X171" s="3" t="s">
        <v>40</v>
      </c>
      <c r="Y171" s="3" t="s">
        <v>41</v>
      </c>
      <c r="Z171" s="3" t="s">
        <v>37</v>
      </c>
      <c r="AA171" s="3" t="s">
        <v>222</v>
      </c>
      <c r="AB171" s="3" t="s">
        <v>43</v>
      </c>
      <c r="AC171" s="4">
        <v>7557.5</v>
      </c>
      <c r="AD171" s="8">
        <f>AC171-R171</f>
      </c>
    </row>
    <row r="172" ht="20" customHeight="1" spans="1:30" x14ac:dyDescent="0.25">
      <c r="A172" s="2">
        <v>171</v>
      </c>
      <c r="B172" s="3" t="s">
        <v>30</v>
      </c>
      <c r="C172" s="3" t="s">
        <v>31</v>
      </c>
      <c r="D172" s="2" t="s">
        <v>576</v>
      </c>
      <c r="E172" s="2" t="s">
        <v>52</v>
      </c>
      <c r="F172" s="3" t="s">
        <v>53</v>
      </c>
      <c r="G172" s="3" t="s">
        <v>35</v>
      </c>
      <c r="H172" s="3" t="s">
        <v>577</v>
      </c>
      <c r="I172" s="4">
        <f>(0.00*4.5)+(0.00*9)</f>
      </c>
      <c r="J172" s="4">
        <f>1000.00+5900.00</f>
      </c>
      <c r="K172" s="4">
        <v>3650</v>
      </c>
      <c r="L172" s="4">
        <v>430</v>
      </c>
      <c r="M172" s="4">
        <v>200</v>
      </c>
      <c r="N172" s="4">
        <v>0</v>
      </c>
      <c r="O172" s="4">
        <v>0</v>
      </c>
      <c r="P172" s="4">
        <v>0</v>
      </c>
      <c r="Q172" s="4">
        <v>0</v>
      </c>
      <c r="R172" s="5">
        <f>SUM(I172:Q172)</f>
      </c>
      <c r="S172" s="6">
        <v>0</v>
      </c>
      <c r="T172" s="7">
        <f>R172-S172</f>
      </c>
      <c r="U172" s="3" t="s">
        <v>37</v>
      </c>
      <c r="V172" s="3" t="s">
        <v>38</v>
      </c>
      <c r="W172" s="3" t="s">
        <v>578</v>
      </c>
      <c r="X172" s="3" t="s">
        <v>40</v>
      </c>
      <c r="Y172" s="3" t="s">
        <v>41</v>
      </c>
      <c r="Z172" s="3" t="s">
        <v>37</v>
      </c>
      <c r="AA172" s="3" t="s">
        <v>401</v>
      </c>
      <c r="AB172" s="3" t="s">
        <v>43</v>
      </c>
      <c r="AC172" s="4">
        <v>11280</v>
      </c>
      <c r="AD172" s="8">
        <f>AC172-R172</f>
      </c>
    </row>
    <row r="173" ht="20" customHeight="1" spans="1:30" x14ac:dyDescent="0.25">
      <c r="A173" s="2">
        <v>172</v>
      </c>
      <c r="B173" s="3" t="s">
        <v>30</v>
      </c>
      <c r="C173" s="3" t="s">
        <v>31</v>
      </c>
      <c r="D173" s="2" t="s">
        <v>579</v>
      </c>
      <c r="E173" s="2" t="s">
        <v>33</v>
      </c>
      <c r="F173" s="3" t="s">
        <v>119</v>
      </c>
      <c r="G173" s="3" t="s">
        <v>54</v>
      </c>
      <c r="H173" s="3" t="s">
        <v>580</v>
      </c>
      <c r="I173" s="4">
        <f>(774.00*4.5)+(0.00*9)</f>
      </c>
      <c r="J173" s="4">
        <f>1200.00+750.00</f>
      </c>
      <c r="K173" s="4">
        <v>2200</v>
      </c>
      <c r="L173" s="4">
        <v>0</v>
      </c>
      <c r="M173" s="4">
        <v>0</v>
      </c>
      <c r="N173" s="4">
        <v>1200</v>
      </c>
      <c r="O173" s="4">
        <v>0</v>
      </c>
      <c r="P173" s="4">
        <v>0</v>
      </c>
      <c r="Q173" s="4">
        <v>0</v>
      </c>
      <c r="R173" s="5">
        <f>SUM(I173:Q173)</f>
      </c>
      <c r="S173" s="6">
        <v>0</v>
      </c>
      <c r="T173" s="7">
        <f>R173-S173</f>
      </c>
      <c r="U173" s="3" t="s">
        <v>37</v>
      </c>
      <c r="V173" s="3" t="s">
        <v>38</v>
      </c>
      <c r="W173" s="3" t="s">
        <v>581</v>
      </c>
      <c r="X173" s="3" t="s">
        <v>40</v>
      </c>
      <c r="Y173" s="3" t="s">
        <v>41</v>
      </c>
      <c r="Z173" s="3" t="s">
        <v>37</v>
      </c>
      <c r="AA173" s="3" t="s">
        <v>179</v>
      </c>
      <c r="AB173" s="3" t="s">
        <v>43</v>
      </c>
      <c r="AC173" s="4">
        <v>8633</v>
      </c>
      <c r="AD173" s="8">
        <f>AC173-R173</f>
      </c>
    </row>
    <row r="174" ht="20" customHeight="1" spans="1:30" x14ac:dyDescent="0.25">
      <c r="A174" s="2">
        <v>173</v>
      </c>
      <c r="B174" s="3" t="s">
        <v>30</v>
      </c>
      <c r="C174" s="3" t="s">
        <v>31</v>
      </c>
      <c r="D174" s="2" t="s">
        <v>582</v>
      </c>
      <c r="E174" s="2" t="s">
        <v>52</v>
      </c>
      <c r="F174" s="3" t="s">
        <v>53</v>
      </c>
      <c r="G174" s="3" t="s">
        <v>47</v>
      </c>
      <c r="H174" s="3" t="s">
        <v>583</v>
      </c>
      <c r="I174" s="4">
        <f>(0.00*4.5)+(0.00*9)</f>
      </c>
      <c r="J174" s="4">
        <f>120.00+0.00</f>
      </c>
      <c r="K174" s="4">
        <v>4050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5">
        <f>SUM(I174:Q174)</f>
      </c>
      <c r="S174" s="6">
        <v>0</v>
      </c>
      <c r="T174" s="7">
        <f>R174-S174</f>
      </c>
      <c r="U174" s="3" t="s">
        <v>37</v>
      </c>
      <c r="V174" s="3" t="s">
        <v>38</v>
      </c>
      <c r="W174" s="3" t="s">
        <v>584</v>
      </c>
      <c r="X174" s="3" t="s">
        <v>40</v>
      </c>
      <c r="Y174" s="3" t="s">
        <v>41</v>
      </c>
      <c r="Z174" s="3" t="s">
        <v>37</v>
      </c>
      <c r="AA174" s="3" t="s">
        <v>50</v>
      </c>
      <c r="AB174" s="3" t="s">
        <v>43</v>
      </c>
      <c r="AC174" s="4">
        <v>4570</v>
      </c>
      <c r="AD174" s="8">
        <f>AC174-R174</f>
      </c>
    </row>
    <row r="175" ht="20" customHeight="1" spans="1:30" x14ac:dyDescent="0.25">
      <c r="A175" s="2">
        <v>174</v>
      </c>
      <c r="B175" s="3" t="s">
        <v>30</v>
      </c>
      <c r="C175" s="3" t="s">
        <v>31</v>
      </c>
      <c r="D175" s="2" t="s">
        <v>585</v>
      </c>
      <c r="E175" s="2" t="s">
        <v>59</v>
      </c>
      <c r="F175" s="3" t="s">
        <v>119</v>
      </c>
      <c r="G175" s="3" t="s">
        <v>35</v>
      </c>
      <c r="H175" s="3" t="s">
        <v>586</v>
      </c>
      <c r="I175" s="4">
        <f>(1229.00*4.5)+(0.00*9)</f>
      </c>
      <c r="J175" s="4">
        <f>700.00+3400.00</f>
      </c>
      <c r="K175" s="4">
        <v>5460</v>
      </c>
      <c r="L175" s="4">
        <v>670</v>
      </c>
      <c r="M175" s="4">
        <v>0</v>
      </c>
      <c r="N175" s="4">
        <v>1950</v>
      </c>
      <c r="O175" s="4">
        <v>0</v>
      </c>
      <c r="P175" s="4">
        <v>0</v>
      </c>
      <c r="Q175" s="4">
        <v>0</v>
      </c>
      <c r="R175" s="5">
        <f>SUM(I175:Q175)</f>
      </c>
      <c r="S175" s="6">
        <v>0</v>
      </c>
      <c r="T175" s="7">
        <f>R175-S175</f>
      </c>
      <c r="U175" s="3" t="s">
        <v>37</v>
      </c>
      <c r="V175" s="3" t="s">
        <v>38</v>
      </c>
      <c r="W175" s="3" t="s">
        <v>587</v>
      </c>
      <c r="X175" s="3" t="s">
        <v>40</v>
      </c>
      <c r="Y175" s="3" t="s">
        <v>41</v>
      </c>
      <c r="Z175" s="3" t="s">
        <v>37</v>
      </c>
      <c r="AA175" s="3" t="s">
        <v>230</v>
      </c>
      <c r="AB175" s="3" t="s">
        <v>43</v>
      </c>
      <c r="AC175" s="4">
        <v>17805</v>
      </c>
      <c r="AD175" s="8">
        <f>AC175-R175</f>
      </c>
    </row>
    <row r="176" ht="20" customHeight="1" spans="1:30" x14ac:dyDescent="0.25">
      <c r="A176" s="2">
        <v>175</v>
      </c>
      <c r="B176" s="3" t="s">
        <v>30</v>
      </c>
      <c r="C176" s="3" t="s">
        <v>31</v>
      </c>
      <c r="D176" s="2" t="s">
        <v>588</v>
      </c>
      <c r="E176" s="2" t="s">
        <v>589</v>
      </c>
      <c r="F176" s="3" t="s">
        <v>590</v>
      </c>
      <c r="G176" s="3" t="s">
        <v>54</v>
      </c>
      <c r="H176" s="3" t="s">
        <v>236</v>
      </c>
      <c r="I176" s="4">
        <f>(0.00*4.5)+(3236.00*9)</f>
      </c>
      <c r="J176" s="4">
        <f>2421.00+0.00</f>
      </c>
      <c r="K176" s="4">
        <v>4250</v>
      </c>
      <c r="L176" s="4">
        <v>0</v>
      </c>
      <c r="M176" s="4">
        <v>0</v>
      </c>
      <c r="N176" s="4">
        <v>0</v>
      </c>
      <c r="O176" s="4">
        <v>0</v>
      </c>
      <c r="P176" s="4">
        <v>6642</v>
      </c>
      <c r="Q176" s="4">
        <v>0</v>
      </c>
      <c r="R176" s="5">
        <f>SUM(I176:Q176)</f>
      </c>
      <c r="S176" s="6">
        <v>0</v>
      </c>
      <c r="T176" s="7">
        <f>R176-S176</f>
      </c>
      <c r="U176" s="3" t="s">
        <v>37</v>
      </c>
      <c r="V176" s="3" t="s">
        <v>38</v>
      </c>
      <c r="W176" s="3" t="s">
        <v>591</v>
      </c>
      <c r="X176" s="3" t="s">
        <v>40</v>
      </c>
      <c r="Y176" s="3" t="s">
        <v>41</v>
      </c>
      <c r="Z176" s="3" t="s">
        <v>37</v>
      </c>
      <c r="AA176" s="3" t="s">
        <v>592</v>
      </c>
      <c r="AB176" s="3" t="s">
        <v>43</v>
      </c>
      <c r="AC176" s="4">
        <v>42437</v>
      </c>
      <c r="AD176" s="8">
        <f>AC176-R176</f>
      </c>
    </row>
    <row r="177" ht="20" customHeight="1" spans="1:30" x14ac:dyDescent="0.25">
      <c r="A177" s="2">
        <v>176</v>
      </c>
      <c r="B177" s="3" t="s">
        <v>30</v>
      </c>
      <c r="C177" s="3" t="s">
        <v>31</v>
      </c>
      <c r="D177" s="2" t="s">
        <v>593</v>
      </c>
      <c r="E177" s="2" t="s">
        <v>59</v>
      </c>
      <c r="F177" s="3" t="s">
        <v>81</v>
      </c>
      <c r="G177" s="3" t="s">
        <v>35</v>
      </c>
      <c r="H177" s="3" t="s">
        <v>594</v>
      </c>
      <c r="I177" s="4">
        <f>(859.00*4.5)+(0.00*9)</f>
      </c>
      <c r="J177" s="4">
        <f>0.00+0.00</f>
      </c>
      <c r="K177" s="4">
        <v>2250</v>
      </c>
      <c r="L177" s="4">
        <v>1344</v>
      </c>
      <c r="M177" s="4">
        <v>250</v>
      </c>
      <c r="N177" s="4">
        <v>0</v>
      </c>
      <c r="O177" s="4">
        <v>0</v>
      </c>
      <c r="P177" s="4">
        <v>0</v>
      </c>
      <c r="Q177" s="4">
        <v>0</v>
      </c>
      <c r="R177" s="5">
        <f>SUM(I177:Q177)</f>
      </c>
      <c r="S177" s="6">
        <v>0</v>
      </c>
      <c r="T177" s="7">
        <f>R177-S177</f>
      </c>
      <c r="U177" s="3" t="s">
        <v>37</v>
      </c>
      <c r="V177" s="3" t="s">
        <v>38</v>
      </c>
      <c r="W177" s="3" t="s">
        <v>595</v>
      </c>
      <c r="X177" s="3" t="s">
        <v>40</v>
      </c>
      <c r="Y177" s="3" t="s">
        <v>41</v>
      </c>
      <c r="Z177" s="3" t="s">
        <v>37</v>
      </c>
      <c r="AA177" s="3" t="s">
        <v>230</v>
      </c>
      <c r="AB177" s="3" t="s">
        <v>43</v>
      </c>
      <c r="AC177" s="4">
        <v>7709.5</v>
      </c>
      <c r="AD177" s="8">
        <f>AC177-R177</f>
      </c>
    </row>
    <row r="178" ht="20" customHeight="1" spans="1:30" x14ac:dyDescent="0.25">
      <c r="A178" s="2">
        <v>177</v>
      </c>
      <c r="B178" s="3" t="s">
        <v>30</v>
      </c>
      <c r="C178" s="3" t="s">
        <v>31</v>
      </c>
      <c r="D178" s="2" t="s">
        <v>596</v>
      </c>
      <c r="E178" s="2" t="s">
        <v>45</v>
      </c>
      <c r="F178" s="3" t="s">
        <v>102</v>
      </c>
      <c r="G178" s="3" t="s">
        <v>35</v>
      </c>
      <c r="H178" s="3" t="s">
        <v>262</v>
      </c>
      <c r="I178" s="4">
        <f>(1214.00*4.5)+(0.00*9)</f>
      </c>
      <c r="J178" s="4">
        <f>400.00+1640.50</f>
      </c>
      <c r="K178" s="4">
        <v>4100</v>
      </c>
      <c r="L178" s="4">
        <v>0</v>
      </c>
      <c r="M178" s="4">
        <v>0</v>
      </c>
      <c r="N178" s="4">
        <v>0</v>
      </c>
      <c r="O178" s="4">
        <v>0</v>
      </c>
      <c r="P178" s="4">
        <v>100</v>
      </c>
      <c r="Q178" s="4">
        <v>0</v>
      </c>
      <c r="R178" s="5">
        <f>SUM(I178:Q178)</f>
      </c>
      <c r="S178" s="6">
        <v>0</v>
      </c>
      <c r="T178" s="7">
        <f>R178-S178</f>
      </c>
      <c r="U178" s="3" t="s">
        <v>37</v>
      </c>
      <c r="V178" s="3" t="s">
        <v>38</v>
      </c>
      <c r="W178" s="3" t="s">
        <v>597</v>
      </c>
      <c r="X178" s="3" t="s">
        <v>40</v>
      </c>
      <c r="Y178" s="3" t="s">
        <v>41</v>
      </c>
      <c r="Z178" s="3" t="s">
        <v>37</v>
      </c>
      <c r="AA178" s="3" t="s">
        <v>42</v>
      </c>
      <c r="AB178" s="3" t="s">
        <v>43</v>
      </c>
      <c r="AC178" s="4">
        <v>12751</v>
      </c>
      <c r="AD178" s="8">
        <f>AC178-R178</f>
      </c>
    </row>
    <row r="179" ht="20" customHeight="1" spans="1:30" x14ac:dyDescent="0.25">
      <c r="A179" s="2">
        <v>178</v>
      </c>
      <c r="B179" s="3" t="s">
        <v>30</v>
      </c>
      <c r="C179" s="3" t="s">
        <v>31</v>
      </c>
      <c r="D179" s="2" t="s">
        <v>598</v>
      </c>
      <c r="E179" s="2" t="s">
        <v>33</v>
      </c>
      <c r="F179" s="3" t="s">
        <v>136</v>
      </c>
      <c r="G179" s="3" t="s">
        <v>61</v>
      </c>
      <c r="H179" s="3" t="s">
        <v>599</v>
      </c>
      <c r="I179" s="4">
        <f>(454.00*4.5)+(0.00*9)</f>
      </c>
      <c r="J179" s="4">
        <f>530.00+2680.00</f>
      </c>
      <c r="K179" s="4">
        <v>1700</v>
      </c>
      <c r="L179" s="4">
        <v>0</v>
      </c>
      <c r="M179" s="4">
        <v>0</v>
      </c>
      <c r="N179" s="4">
        <v>2850</v>
      </c>
      <c r="O179" s="4">
        <v>0</v>
      </c>
      <c r="P179" s="4">
        <v>0</v>
      </c>
      <c r="Q179" s="4">
        <v>0</v>
      </c>
      <c r="R179" s="5">
        <f>SUM(I179:Q179)</f>
      </c>
      <c r="S179" s="6">
        <v>0</v>
      </c>
      <c r="T179" s="7">
        <f>R179-S179</f>
      </c>
      <c r="U179" s="3" t="s">
        <v>37</v>
      </c>
      <c r="V179" s="3" t="s">
        <v>38</v>
      </c>
      <c r="W179" s="3" t="s">
        <v>600</v>
      </c>
      <c r="X179" s="3" t="s">
        <v>40</v>
      </c>
      <c r="Y179" s="3" t="s">
        <v>41</v>
      </c>
      <c r="Z179" s="3" t="s">
        <v>37</v>
      </c>
      <c r="AA179" s="3" t="s">
        <v>69</v>
      </c>
      <c r="AB179" s="3" t="s">
        <v>43</v>
      </c>
      <c r="AC179" s="4">
        <v>10920.5</v>
      </c>
      <c r="AD179" s="8">
        <f>AC179-R179</f>
      </c>
    </row>
    <row r="180" ht="20" customHeight="1" spans="1:30" x14ac:dyDescent="0.25">
      <c r="A180" s="2">
        <v>179</v>
      </c>
      <c r="B180" s="3" t="s">
        <v>30</v>
      </c>
      <c r="C180" s="3" t="s">
        <v>31</v>
      </c>
      <c r="D180" s="2" t="s">
        <v>601</v>
      </c>
      <c r="E180" s="2" t="s">
        <v>33</v>
      </c>
      <c r="F180" s="3" t="s">
        <v>370</v>
      </c>
      <c r="G180" s="3" t="s">
        <v>35</v>
      </c>
      <c r="H180" s="3" t="s">
        <v>602</v>
      </c>
      <c r="I180" s="4">
        <f>(280.00*4.5)+(0.00*9)</f>
      </c>
      <c r="J180" s="4">
        <f>50.00+960.00</f>
      </c>
      <c r="K180" s="4">
        <v>2400</v>
      </c>
      <c r="L180" s="4">
        <v>0</v>
      </c>
      <c r="M180" s="4">
        <v>0</v>
      </c>
      <c r="N180" s="4">
        <v>6800</v>
      </c>
      <c r="O180" s="4">
        <v>0</v>
      </c>
      <c r="P180" s="4">
        <v>750</v>
      </c>
      <c r="Q180" s="4">
        <v>0</v>
      </c>
      <c r="R180" s="5">
        <f>SUM(I180:Q180)</f>
      </c>
      <c r="S180" s="6">
        <v>0</v>
      </c>
      <c r="T180" s="7">
        <f>R180-S180</f>
      </c>
      <c r="U180" s="3" t="s">
        <v>37</v>
      </c>
      <c r="V180" s="3" t="s">
        <v>38</v>
      </c>
      <c r="W180" s="3" t="s">
        <v>603</v>
      </c>
      <c r="X180" s="3" t="s">
        <v>40</v>
      </c>
      <c r="Y180" s="3" t="s">
        <v>41</v>
      </c>
      <c r="Z180" s="3" t="s">
        <v>37</v>
      </c>
      <c r="AA180" s="3" t="s">
        <v>128</v>
      </c>
      <c r="AB180" s="3" t="s">
        <v>43</v>
      </c>
      <c r="AC180" s="4">
        <v>12220</v>
      </c>
      <c r="AD180" s="8">
        <f>AC180-R180</f>
      </c>
    </row>
    <row r="181" ht="20" customHeight="1" spans="1:30" x14ac:dyDescent="0.25">
      <c r="A181" s="2">
        <v>180</v>
      </c>
      <c r="B181" s="3" t="s">
        <v>30</v>
      </c>
      <c r="C181" s="3" t="s">
        <v>31</v>
      </c>
      <c r="D181" s="2" t="s">
        <v>604</v>
      </c>
      <c r="E181" s="2" t="s">
        <v>52</v>
      </c>
      <c r="F181" s="3" t="s">
        <v>53</v>
      </c>
      <c r="G181" s="3" t="s">
        <v>47</v>
      </c>
      <c r="H181" s="3" t="s">
        <v>605</v>
      </c>
      <c r="I181" s="4">
        <f>(1435.00*4.5)+(0.00*9)</f>
      </c>
      <c r="J181" s="4">
        <f>0.00+0.00</f>
      </c>
      <c r="K181" s="4">
        <v>2700</v>
      </c>
      <c r="L181" s="4">
        <v>3210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5">
        <f>SUM(I181:Q181)</f>
      </c>
      <c r="S181" s="6">
        <v>0</v>
      </c>
      <c r="T181" s="7">
        <f>R181-S181</f>
      </c>
      <c r="U181" s="3" t="s">
        <v>37</v>
      </c>
      <c r="V181" s="3" t="s">
        <v>38</v>
      </c>
      <c r="W181" s="3" t="s">
        <v>606</v>
      </c>
      <c r="X181" s="3" t="s">
        <v>40</v>
      </c>
      <c r="Y181" s="3" t="s">
        <v>41</v>
      </c>
      <c r="Z181" s="3" t="s">
        <v>37</v>
      </c>
      <c r="AA181" s="3" t="s">
        <v>165</v>
      </c>
      <c r="AB181" s="3" t="s">
        <v>43</v>
      </c>
      <c r="AC181" s="4">
        <v>13627.5</v>
      </c>
      <c r="AD181" s="8">
        <f>AC181-R181</f>
      </c>
    </row>
    <row r="182" ht="20" customHeight="1" spans="1:30" x14ac:dyDescent="0.25">
      <c r="A182" s="2">
        <v>181</v>
      </c>
      <c r="B182" s="3" t="s">
        <v>30</v>
      </c>
      <c r="C182" s="3" t="s">
        <v>31</v>
      </c>
      <c r="D182" s="2" t="s">
        <v>607</v>
      </c>
      <c r="E182" s="2" t="s">
        <v>59</v>
      </c>
      <c r="F182" s="3" t="s">
        <v>81</v>
      </c>
      <c r="G182" s="3" t="s">
        <v>35</v>
      </c>
      <c r="H182" s="3" t="s">
        <v>608</v>
      </c>
      <c r="I182" s="4">
        <f>(1286.00*4.5)+(0.00*9)</f>
      </c>
      <c r="J182" s="4">
        <f>40.00+1020.00</f>
      </c>
      <c r="K182" s="4">
        <v>2100</v>
      </c>
      <c r="L182" s="4">
        <v>195</v>
      </c>
      <c r="M182" s="4">
        <v>0</v>
      </c>
      <c r="N182" s="4">
        <v>900</v>
      </c>
      <c r="O182" s="4">
        <v>0</v>
      </c>
      <c r="P182" s="4">
        <v>0</v>
      </c>
      <c r="Q182" s="4">
        <v>0</v>
      </c>
      <c r="R182" s="5">
        <f>SUM(I182:Q182)</f>
      </c>
      <c r="S182" s="6">
        <v>0</v>
      </c>
      <c r="T182" s="7">
        <f>R182-S182</f>
      </c>
      <c r="U182" s="3" t="s">
        <v>37</v>
      </c>
      <c r="V182" s="3" t="s">
        <v>38</v>
      </c>
      <c r="W182" s="3" t="s">
        <v>609</v>
      </c>
      <c r="X182" s="3" t="s">
        <v>40</v>
      </c>
      <c r="Y182" s="3" t="s">
        <v>41</v>
      </c>
      <c r="Z182" s="3" t="s">
        <v>37</v>
      </c>
      <c r="AA182" s="3" t="s">
        <v>275</v>
      </c>
      <c r="AB182" s="3" t="s">
        <v>43</v>
      </c>
      <c r="AC182" s="4">
        <v>10586.5</v>
      </c>
      <c r="AD182" s="8">
        <f>AC182-R182</f>
      </c>
    </row>
    <row r="183" ht="20" customHeight="1" spans="1:30" x14ac:dyDescent="0.25">
      <c r="A183" s="2">
        <v>182</v>
      </c>
      <c r="B183" s="3" t="s">
        <v>30</v>
      </c>
      <c r="C183" s="3" t="s">
        <v>31</v>
      </c>
      <c r="D183" s="2" t="s">
        <v>610</v>
      </c>
      <c r="E183" s="2" t="s">
        <v>33</v>
      </c>
      <c r="F183" s="3" t="s">
        <v>160</v>
      </c>
      <c r="G183" s="3" t="s">
        <v>61</v>
      </c>
      <c r="H183" s="3" t="s">
        <v>611</v>
      </c>
      <c r="I183" s="4">
        <f>(140.00*4.5)+(0.00*9)</f>
      </c>
      <c r="J183" s="4">
        <f>1722.00+5620.00</f>
      </c>
      <c r="K183" s="4">
        <v>7250</v>
      </c>
      <c r="L183" s="4">
        <v>0</v>
      </c>
      <c r="M183" s="4">
        <v>0</v>
      </c>
      <c r="N183" s="4">
        <v>11500</v>
      </c>
      <c r="O183" s="4">
        <v>0</v>
      </c>
      <c r="P183" s="4">
        <v>0</v>
      </c>
      <c r="Q183" s="4">
        <v>0</v>
      </c>
      <c r="R183" s="5">
        <f>SUM(I183:Q183)</f>
      </c>
      <c r="S183" s="6">
        <v>0</v>
      </c>
      <c r="T183" s="7">
        <f>R183-S183</f>
      </c>
      <c r="U183" s="3" t="s">
        <v>37</v>
      </c>
      <c r="V183" s="3" t="s">
        <v>38</v>
      </c>
      <c r="W183" s="3" t="s">
        <v>37</v>
      </c>
      <c r="X183" s="3" t="s">
        <v>40</v>
      </c>
      <c r="Y183" s="3" t="s">
        <v>41</v>
      </c>
      <c r="Z183" s="3" t="s">
        <v>37</v>
      </c>
      <c r="AA183" s="3" t="s">
        <v>156</v>
      </c>
      <c r="AB183" s="3" t="s">
        <v>43</v>
      </c>
      <c r="AC183" s="4">
        <v>26722</v>
      </c>
      <c r="AD183" s="8">
        <f>AC183-R183</f>
      </c>
    </row>
    <row r="184" ht="20" customHeight="1" spans="1:30" x14ac:dyDescent="0.25">
      <c r="A184" s="2">
        <v>183</v>
      </c>
      <c r="B184" s="3" t="s">
        <v>30</v>
      </c>
      <c r="C184" s="3" t="s">
        <v>31</v>
      </c>
      <c r="D184" s="2" t="s">
        <v>612</v>
      </c>
      <c r="E184" s="2" t="s">
        <v>45</v>
      </c>
      <c r="F184" s="3" t="s">
        <v>613</v>
      </c>
      <c r="G184" s="3" t="s">
        <v>47</v>
      </c>
      <c r="H184" s="3" t="s">
        <v>614</v>
      </c>
      <c r="I184" s="4">
        <f>(0.00*4.5)+(0.00*9)</f>
      </c>
      <c r="J184" s="4">
        <f>1220.00+4050.00</f>
      </c>
      <c r="K184" s="4">
        <v>5100</v>
      </c>
      <c r="L184" s="4">
        <v>0</v>
      </c>
      <c r="M184" s="4">
        <v>0</v>
      </c>
      <c r="N184" s="4">
        <v>2850</v>
      </c>
      <c r="O184" s="4">
        <v>0</v>
      </c>
      <c r="P184" s="4">
        <v>0</v>
      </c>
      <c r="Q184" s="4">
        <v>0</v>
      </c>
      <c r="R184" s="5">
        <f>SUM(I184:Q184)</f>
      </c>
      <c r="S184" s="6">
        <v>0</v>
      </c>
      <c r="T184" s="7">
        <f>R184-S184</f>
      </c>
      <c r="U184" s="3" t="s">
        <v>37</v>
      </c>
      <c r="V184" s="3" t="s">
        <v>38</v>
      </c>
      <c r="W184" s="3" t="s">
        <v>615</v>
      </c>
      <c r="X184" s="3" t="s">
        <v>40</v>
      </c>
      <c r="Y184" s="3" t="s">
        <v>41</v>
      </c>
      <c r="Z184" s="3" t="s">
        <v>37</v>
      </c>
      <c r="AA184" s="3" t="s">
        <v>50</v>
      </c>
      <c r="AB184" s="3" t="s">
        <v>43</v>
      </c>
      <c r="AC184" s="4">
        <v>13220</v>
      </c>
      <c r="AD184" s="8">
        <f>AC184-R184</f>
      </c>
    </row>
    <row r="185" ht="24" customHeight="1" spans="1:30" x14ac:dyDescent="0.25">
      <c r="A185" s="9" t="s">
        <v>616</v>
      </c>
      <c r="B185" s="9"/>
      <c r="C185" s="9"/>
      <c r="D185" s="9"/>
      <c r="E185" s="9"/>
      <c r="F185" s="9"/>
      <c r="G185" s="9"/>
      <c r="H185" s="9"/>
      <c r="I185" s="10">
        <f>SUM(I2:I184)</f>
      </c>
      <c r="J185" s="10">
        <f>SUM(J2:J184)</f>
      </c>
      <c r="K185" s="10">
        <f>SUM(K2:K184)</f>
      </c>
      <c r="L185" s="10">
        <f>SUM(L2:L184)</f>
      </c>
      <c r="M185" s="10">
        <f>SUM(M2:M184)</f>
      </c>
      <c r="N185" s="10">
        <f>SUM(N2:N184)</f>
      </c>
      <c r="O185" s="10">
        <f>SUM(O2:O184)</f>
      </c>
      <c r="P185" s="10">
        <f>SUM(P2:P184)</f>
      </c>
      <c r="Q185" s="10">
        <f>SUM(Q2:Q184)</f>
      </c>
      <c r="R185" s="10">
        <f>SUM(R2:R184)</f>
      </c>
      <c r="S185" s="10">
        <f>SUM(S2:S184)</f>
      </c>
      <c r="T185" s="10">
        <f>SUM(T2:T184)</f>
      </c>
      <c r="AC185" s="10">
        <f>SUM(AC2:AC184)</f>
      </c>
      <c r="AD185" s="10">
        <f>SUM(AD2:AD184)</f>
      </c>
    </row>
  </sheetData>
  <mergeCells count="1">
    <mergeCell ref="A185:H185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Cyrix Field Connect</dc:creator>
  <dc:title/>
  <dc:subject/>
  <dc:description/>
  <cp:keywords/>
  <cp:category/>
  <cp:lastModifiedBy>Cyrix Field Connect</cp:lastModifiedBy>
  <dcterms:created xsi:type="dcterms:W3CDTF">2026-08-20T05:20:25Z</dcterms:created>
  <dcterms:modified xsi:type="dcterms:W3CDTF">2026-08-20T05:20:25Z</dcterms:modified>
</cp:coreProperties>
</file>